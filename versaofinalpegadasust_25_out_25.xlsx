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<sst xmlns="http://schemas.openxmlformats.org/spreadsheetml/2006/main" count="1727" uniqueCount="1024">
  <si>
    <t>ID</t>
  </si>
  <si>
    <t>pais</t>
  </si>
  <si>
    <t>receita_tradicional</t>
  </si>
  <si>
    <t>receitavegana</t>
  </si>
  <si>
    <t>reduemisaoco2</t>
  </si>
  <si>
    <t>emissaoco2</t>
  </si>
  <si>
    <t>reducaoagua</t>
  </si>
  <si>
    <t>aguaevitacao</t>
  </si>
  <si>
    <t>reducaousoterra</t>
  </si>
  <si>
    <t>evitacaoterra</t>
  </si>
  <si>
    <t>reducaobiodiversaidade</t>
  </si>
  <si>
    <t>economiadeaniamisano</t>
  </si>
  <si>
    <t>aumentofibras</t>
  </si>
  <si>
    <t>reducaogordurassat</t>
  </si>
  <si>
    <t>ganhonutri</t>
  </si>
  <si>
    <t>fraseimpacto</t>
  </si>
  <si>
    <t>fontes</t>
  </si>
  <si>
    <t>a1</t>
  </si>
  <si>
    <t>Afeganistão</t>
  </si>
  <si>
    <t>Qabili Palaw (com cordeiro)</t>
  </si>
  <si>
    <t>Qabili Palaw Vegano (lentilhas e cenoura)</t>
  </si>
  <si>
    <t>3,0</t>
  </si>
  <si>
    <t>1,8</t>
  </si>
  <si>
    <t>12 000</t>
  </si>
  <si>
    <t>A troca do cordeiro por leguminosas reduz ~3 kg CO₂e e ~900 L de água por porção, preservando o perfil cultural do prato.</t>
  </si>
  <si>
    <t>Poore &amp; Nemecek 2018; FAO 2022; IVU 2024; WAP 2023</t>
  </si>
  <si>
    <t>África do Sul</t>
  </si>
  <si>
    <t>Bobotie (carne moída e ovos)</t>
  </si>
  <si>
    <t>Bobotie Vegano (lentilhas e tofu)</t>
  </si>
  <si>
    <t>2,6</t>
  </si>
  <si>
    <t>1,7</t>
  </si>
  <si>
    <t>35 000</t>
  </si>
  <si>
    <t>Versão vegetal corta &gt;2,5 kg CO₂e/porção e economiza ~1 000 L de água mantendo o sabor especiado.</t>
  </si>
  <si>
    <t>Poore &amp; Nemecek 2018; FAO 2022; IVU 2024</t>
  </si>
  <si>
    <t>Albânia</t>
  </si>
  <si>
    <t>Tavë Kosi (carne e iogurte)</t>
  </si>
  <si>
    <t>Tavë Kosi Vegano (grão-de-bico e iogurte vegetal)</t>
  </si>
  <si>
    <t>2,2</t>
  </si>
  <si>
    <t>1,5</t>
  </si>
  <si>
    <t>10 000</t>
  </si>
  <si>
    <t>Eliminar carne e laticínios reduz emissões e água sem perder cremosidade do prato.</t>
  </si>
  <si>
    <t>Poore &amp; Nemecek 2018; Springmann 2021; IVU 2024</t>
  </si>
  <si>
    <t>a4</t>
  </si>
  <si>
    <t>Alemanha</t>
  </si>
  <si>
    <t>Sauerbraten (bovina)</t>
  </si>
  <si>
    <t>Sauerbraten Vegano (seitan e vinagre)</t>
  </si>
  <si>
    <t>2,8</t>
  </si>
  <si>
    <t>2,0</t>
  </si>
  <si>
    <t>50 000</t>
  </si>
  <si>
    <t>Versão de seitan corta ~2,8 kg CO₂e e &gt;1,2 k L de água por porção.</t>
  </si>
  <si>
    <t>Poore &amp; Nemecek 2018; FAO 2022</t>
  </si>
  <si>
    <t>a5</t>
  </si>
  <si>
    <t>Andorra</t>
  </si>
  <si>
    <t>Escudella (porco/frango)</t>
  </si>
  <si>
    <t>Escudella Vegana (lentilhas e legumes)</t>
  </si>
  <si>
    <t>1,3</t>
  </si>
  <si>
    <t>9 000</t>
  </si>
  <si>
    <t>Leguminosas reduzem substancialmente CO₂e e água em um cozido festivo tradicional.</t>
  </si>
  <si>
    <t>Poore &amp; Nemecek 2018; IVU 2024</t>
  </si>
  <si>
    <t>a6</t>
  </si>
  <si>
    <t>Angola</t>
  </si>
  <si>
    <t>Moamba de Galinha</t>
  </si>
  <si>
    <t>Moamba Vegana (grão-de-bico e dendê)</t>
  </si>
  <si>
    <t>1,4</t>
  </si>
  <si>
    <t>1,1</t>
  </si>
  <si>
    <t>22 000</t>
  </si>
  <si>
    <t>Troca do frango por grão-de-bico corta CO₂e e uso de água preservando o molhopicado de dendê.</t>
  </si>
  <si>
    <t>a7</t>
  </si>
  <si>
    <t>Antígua e Barbuda</t>
  </si>
  <si>
    <t>Fungi &amp; Peixe</t>
  </si>
  <si>
    <t>Fungi Vegano (polenta de milho e feijões)</t>
  </si>
  <si>
    <t>1,2</t>
  </si>
  <si>
    <t>0,9</t>
  </si>
  <si>
    <t>8 000</t>
  </si>
  <si>
    <t>Versão sem peixe reduz impacto hídrico e melhora fibras do prato cotidiano.</t>
  </si>
  <si>
    <t>a8</t>
  </si>
  <si>
    <t>Arábia Saudita</t>
  </si>
  <si>
    <t>Kabsa/Machboos (carne)</t>
  </si>
  <si>
    <t>Kabsa Vegano (grão-de-bico e especiarias)</t>
  </si>
  <si>
    <t>1,6</t>
  </si>
  <si>
    <t>28 000</t>
  </si>
  <si>
    <t>Grão-de-bico substitui carne com queda expressiva de CO₂e por porção.</t>
  </si>
  <si>
    <t>a9</t>
  </si>
  <si>
    <t>Argélia</t>
  </si>
  <si>
    <t>Couscous com cordeiro</t>
  </si>
  <si>
    <t>Couscous Vegano (legumes e grão-de-bico)</t>
  </si>
  <si>
    <t>19 000</t>
  </si>
  <si>
    <t>Substituição do cordeiro evita ~2,6 kg CO₂e e ~0,8 k L de água por porção.</t>
  </si>
  <si>
    <t>a10</t>
  </si>
  <si>
    <t>Argentina</t>
  </si>
  <si>
    <t>Asado (bovino)</t>
  </si>
  <si>
    <t>Asado Vegano (legumes grelhados + feijões)</t>
  </si>
  <si>
    <t>80 000</t>
  </si>
  <si>
    <t>Corte drástico de emissões e água com combinação de feijões e grelhados vegetais.</t>
  </si>
  <si>
    <t>Poore &amp; Nemecek 2018; FAO 2022; WAP 2023</t>
  </si>
  <si>
    <t>a11</t>
  </si>
  <si>
    <t>Armênia</t>
  </si>
  <si>
    <t>Khorovats (carne grelhada)</t>
  </si>
  <si>
    <t>Khorovats Vegano (berinjela + grão-de-bico)</t>
  </si>
  <si>
    <t>1,9</t>
  </si>
  <si>
    <t>11 000</t>
  </si>
  <si>
    <t>Grelhados de vegetais e leguminosas preservam o ritual e reduzem impactos.</t>
  </si>
  <si>
    <t>Poore &amp; Nemecek 2018</t>
  </si>
  <si>
    <t>a12</t>
  </si>
  <si>
    <t>Austrália</t>
  </si>
  <si>
    <t>Meat Pie</t>
  </si>
  <si>
    <t>Pie Vegana (lentilhas e cogumelos)</t>
  </si>
  <si>
    <t>2,3</t>
  </si>
  <si>
    <t>38 000</t>
  </si>
  <si>
    <t>Recheio vegetal reduz ~2,3 kg CO₂e por porção mantendo conforto e sabor.</t>
  </si>
  <si>
    <t>a13</t>
  </si>
  <si>
    <t>Áustria</t>
  </si>
  <si>
    <t>Wiener Schnitzel (vitela)</t>
  </si>
  <si>
    <t>Schnitzel Vegano (seitan/cogumelo ostra)</t>
  </si>
  <si>
    <t>2,5</t>
  </si>
  <si>
    <t>27 000</t>
  </si>
  <si>
    <t>Empanado vegetal evita ~2,5 kg CO₂e e quase 1 k L de água por porção.</t>
  </si>
  <si>
    <t>a14</t>
  </si>
  <si>
    <t>Azerbaijão</t>
  </si>
  <si>
    <t>Plov (carne)</t>
  </si>
  <si>
    <t>Plov Vegano (grão-de-bico e açafrão)</t>
  </si>
  <si>
    <t>14 000</t>
  </si>
  <si>
    <t>Plov vegetal entrega proteína e grande queda de emissões e água.</t>
  </si>
  <si>
    <t>a15</t>
  </si>
  <si>
    <t>Bahamas</t>
  </si>
  <si>
    <t>Salada de Concha (caracol)</t>
  </si>
  <si>
    <t>Salada de Grão-de-bico e Coco Vegana</t>
  </si>
  <si>
    <t>1,0</t>
  </si>
  <si>
    <t>90 000</t>
  </si>
  <si>
    <t>Substituir caracol por grão-de-bico e coco reduz emissões e água mantendo frescor cítrico-ilhéu.</t>
  </si>
  <si>
    <t>a16</t>
  </si>
  <si>
    <t>Bahrein</t>
  </si>
  <si>
    <t>Machboos de Frango</t>
  </si>
  <si>
    <t>Machboos Vegano (grão-de-bico e especiarias)</t>
  </si>
  <si>
    <t>110 000</t>
  </si>
  <si>
    <t>Grão-de-bico no lugar do frango corta ~1,6 kg CO₂e/porção e ~700 L de água.</t>
  </si>
  <si>
    <t>a17</t>
  </si>
  <si>
    <t>Bangladesh</t>
  </si>
  <si>
    <t>Kacchi Biryani (cordeiro)</t>
  </si>
  <si>
    <t>Biryani Vegano (lentilhas e batata)</t>
  </si>
  <si>
    <t>2,4</t>
  </si>
  <si>
    <t>120 000</t>
  </si>
  <si>
    <t>A troca do cordeiro por leguminosas mantém tradição e reduz fortemente a pegada.</t>
  </si>
  <si>
    <t>a18</t>
  </si>
  <si>
    <t>Barbados</t>
  </si>
  <si>
    <t>Cou-cou com Peixe-voador</t>
  </si>
  <si>
    <t>Cou-cou Vegano (tofu e nori)</t>
  </si>
  <si>
    <t>95 000</t>
  </si>
  <si>
    <t>Versão sem peixe diminui impacto hídrico e aumenta fibras, com sabor marinho via nori.</t>
  </si>
  <si>
    <t>a19</t>
  </si>
  <si>
    <t>Bielorrússia</t>
  </si>
  <si>
    <t>Draniki com creme azedo</t>
  </si>
  <si>
    <t>Draniki Vegano (creme de caju)</t>
  </si>
  <si>
    <t>85 000</t>
  </si>
  <si>
    <t>Tirar laticínios reduz CO₂e e água preservando a identidade do prato.</t>
  </si>
  <si>
    <t>Poore &amp; Nemecek 2018; Springmann 2021</t>
  </si>
  <si>
    <t>a20</t>
  </si>
  <si>
    <t>Bélgica</t>
  </si>
  <si>
    <t>Stoofvlees (ensopado bovino)</t>
  </si>
  <si>
    <t>Stoofvlees Vegano (seitan e cerveja)</t>
  </si>
  <si>
    <t>2,7</t>
  </si>
  <si>
    <t>130 000</t>
  </si>
  <si>
    <t>Seitan no lugar de bovinos evita ~2,7 kg CO₂e e &gt;1 kL de água por porção.</t>
  </si>
  <si>
    <t>a21</t>
  </si>
  <si>
    <t>Belize</t>
  </si>
  <si>
    <t>Rice &amp; Beans com carne salgada</t>
  </si>
  <si>
    <t>Rice &amp; Beans Vegano (coco)</t>
  </si>
  <si>
    <t>100 000</t>
  </si>
  <si>
    <t>Remover carne processada melhora perfis ambiental e nutricional sem perder autenticidade.</t>
  </si>
  <si>
    <t>a22</t>
  </si>
  <si>
    <t>Benim</t>
  </si>
  <si>
    <t>Amiwo com carne</t>
  </si>
  <si>
    <t>Amiwo Vegano (feijão-preto e tomate)</t>
  </si>
  <si>
    <t>105 000</t>
  </si>
  <si>
    <t>Feijões substituem carne com grande queda de CO₂e e água.</t>
  </si>
  <si>
    <t>a23</t>
  </si>
  <si>
    <t>Bolívia</t>
  </si>
  <si>
    <t>Salteña (carne)</t>
  </si>
  <si>
    <t>Salteña Vegana (lentilhas)</t>
  </si>
  <si>
    <t>98 000</t>
  </si>
  <si>
    <t>Recheio vegetal mantém tradição e reduz impactos por porção.</t>
  </si>
  <si>
    <t>a24</t>
  </si>
  <si>
    <t>Bósnia e Herzegovina</t>
  </si>
  <si>
    <t>Begova Čorba (frango)</t>
  </si>
  <si>
    <t>Begova Čorba Vegana (grão-de-bico)</t>
  </si>
  <si>
    <t>Trocar frango por leguminosas reduz ~1,4 kg CO₂e/porção.</t>
  </si>
  <si>
    <t>a25</t>
  </si>
  <si>
    <t>Botsuana</t>
  </si>
  <si>
    <t>Bogobe com carne</t>
  </si>
  <si>
    <t>Bogobe Vegano (morogo e feijão)</t>
  </si>
  <si>
    <t>92 000</t>
  </si>
  <si>
    <t>Papa de milho com feijões e folhas locais diminui impacto total.</t>
  </si>
  <si>
    <t>a26</t>
  </si>
  <si>
    <t>Brasil</t>
  </si>
  <si>
    <t>Feijoada (bovina/suína)</t>
  </si>
  <si>
    <t>Feijoada Vegana (feijão-preto e tofu defumado)</t>
  </si>
  <si>
    <t>140 000</t>
  </si>
  <si>
    <t>Feijoada vegetal corta &gt;2,5 kg CO₂e e ~1 kL de água por porção, valorizando ingredientes nativos.</t>
  </si>
  <si>
    <t>a27</t>
  </si>
  <si>
    <t>Brunei</t>
  </si>
  <si>
    <t>Ambuyat com peixe</t>
  </si>
  <si>
    <t>Ambuyat Vegano (molho de amendoim)</t>
  </si>
  <si>
    <t>Mantém ritual do ambuyat com menor pegada hídrica e de carbono.</t>
  </si>
  <si>
    <t>a28</t>
  </si>
  <si>
    <t>Bulgária</t>
  </si>
  <si>
    <t>Banitsa (ovos e queijo)</t>
  </si>
  <si>
    <t>Banitsa Vegana (tofu e espinafre)</t>
  </si>
  <si>
    <t>88 000</t>
  </si>
  <si>
    <t>Remoção de laticínios reduz impactos mantendo textura folhada tradicional.</t>
  </si>
  <si>
    <t>a29</t>
  </si>
  <si>
    <t>Burkina Faso</t>
  </si>
  <si>
    <t>Riz Gras com carne</t>
  </si>
  <si>
    <t>Riz Gras Vegano (feijão-preto e legumes)</t>
  </si>
  <si>
    <t>102 000</t>
  </si>
  <si>
    <t>Leguminosas reduzem CO₂e e água sem perder o caráter do prato nacional.</t>
  </si>
  <si>
    <t>a30</t>
  </si>
  <si>
    <t>Burundi</t>
  </si>
  <si>
    <t>Isombe com peixe</t>
  </si>
  <si>
    <t>Isombe Vegano (folhas de mandioca e amendoim)</t>
  </si>
  <si>
    <t>Versão 100% vegetal mantém identidade e diminui significativamente o uso de recursos.</t>
  </si>
  <si>
    <t>a31</t>
  </si>
  <si>
    <t>Cabo Verde</t>
  </si>
  <si>
    <t>Cachupa (com carne e linguiça)</t>
  </si>
  <si>
    <t>Cachupa Vegana (feijão e milho)</t>
  </si>
  <si>
    <t>Cachupa vegetal mantém identidade crioula e reduz emissões e água em mais de 70%.</t>
  </si>
  <si>
    <t>a32</t>
  </si>
  <si>
    <t>Camboja</t>
  </si>
  <si>
    <t>Amok (peixe e leite de coco)</t>
  </si>
  <si>
    <t>Amok Vegano (tofu e cogumelos)</t>
  </si>
  <si>
    <t>Amok vegetal com tofu mantém aroma do curry e corta emissões e água pela metade.</t>
  </si>
  <si>
    <t>a33</t>
  </si>
  <si>
    <t>Camarões</t>
  </si>
  <si>
    <t>Ndolé (carne e amendoim)</t>
  </si>
  <si>
    <t>Ndolé Vegano (amendoim e espinafre)</t>
  </si>
  <si>
    <t>97 000</t>
  </si>
  <si>
    <t>Combinando folhas e amendoim, reduz impacto e mantém valor proteico e sabor local.</t>
  </si>
  <si>
    <t>z34</t>
  </si>
  <si>
    <t>Canadá</t>
  </si>
  <si>
    <t>Poutine (carne e queijo)</t>
  </si>
  <si>
    <t>Poutine Vegano (molho de cogumelos e queijo vegetal)</t>
  </si>
  <si>
    <t>Poutine vegetal corta 80% das emissões e mantém conforto típico canadense.</t>
  </si>
  <si>
    <t>a35</t>
  </si>
  <si>
    <t>Catar</t>
  </si>
  <si>
    <t>Machboos de carne</t>
  </si>
  <si>
    <t>2,1</t>
  </si>
  <si>
    <t>115 000</t>
  </si>
  <si>
    <t>Grão-de-bico substitui carne com redução de 2,1 kg CO₂e/porção e grande economia hídrica.</t>
  </si>
  <si>
    <t>a36</t>
  </si>
  <si>
    <t>Cazaquistão</t>
  </si>
  <si>
    <t>Beshbarmak (carne de cavalo/bovina)</t>
  </si>
  <si>
    <t>Beshbarmak Vegano (tofu e legumes)</t>
  </si>
  <si>
    <t>Versão vegetal mantém simbolismo nômade e corta mais de 2,5 kg CO₂e por porção.</t>
  </si>
  <si>
    <t>a37</t>
  </si>
  <si>
    <t>Chade</t>
  </si>
  <si>
    <t>Boullie com carne</t>
  </si>
  <si>
    <t>Boullie Vegano (painço e feijão)</t>
  </si>
  <si>
    <t>Substituição simples e de baixo custo com impacto ambiental 70% menor.</t>
  </si>
  <si>
    <t>a38</t>
  </si>
  <si>
    <t>Chile</t>
  </si>
  <si>
    <t>Empanada de carne</t>
  </si>
  <si>
    <t>Empanada Vegana (lentilhas e milho)</t>
  </si>
  <si>
    <t>Versão de lentilhas mantém tradição chilena e reduz drasticamente impacto por porção.</t>
  </si>
  <si>
    <t>a39</t>
  </si>
  <si>
    <t>China</t>
  </si>
  <si>
    <t>Jiaozi (carne de porco)</t>
  </si>
  <si>
    <t>Jiaozi Vegano (recheio de tofu e repolho)</t>
  </si>
  <si>
    <t>125 000</t>
  </si>
  <si>
    <t>Mantém cultura milenar dos bolinhos com menor impacto ambiental e alto teor proteico.</t>
  </si>
  <si>
    <t>a40</t>
  </si>
  <si>
    <t>Chipre</t>
  </si>
  <si>
    <t>Kleftiko (cordeiro assado)</t>
  </si>
  <si>
    <t>Kleftiko Vegano (batata e lentilhas ao forno)</t>
  </si>
  <si>
    <t>Versão vegetal corta ~2,5 kg CO₂e/porção e preserva o sabor mediterrâneo.</t>
  </si>
  <si>
    <t>a41</t>
  </si>
  <si>
    <t>Cingapura</t>
  </si>
  <si>
    <t>Laksa (com camarão e peixe)</t>
  </si>
  <si>
    <t>Laksa Vegana (tofu, nori e leite de coco)</t>
  </si>
  <si>
    <t>Substituir frutos do mar por tofu e nori corta emissões e água mantendo sabor autêntico do Sudeste Asiático.</t>
  </si>
  <si>
    <t>a42</t>
  </si>
  <si>
    <t>Colômbia</t>
  </si>
  <si>
    <t>Bandeja Paisa (carne, chouriço e ovo)</t>
  </si>
  <si>
    <t>Bandeja Paisa Vegana (feijão, banana e tofu)</t>
  </si>
  <si>
    <t>2,9</t>
  </si>
  <si>
    <t>150 000</t>
  </si>
  <si>
    <t>Versão vegetal reduz 3 kg CO₂e e 1 kL de água por porção, celebrando ingredientes locais.</t>
  </si>
  <si>
    <t>a43</t>
  </si>
  <si>
    <t>Comores</t>
  </si>
  <si>
    <t>Langouste à la Vanille</t>
  </si>
  <si>
    <t>Langouste Vegana (jaca e leite de coco)</t>
  </si>
  <si>
    <t>Versão com jaca verde substitui lagosta com 70% menos impacto e sabor tropical preservado.</t>
  </si>
  <si>
    <t>a44</t>
  </si>
  <si>
    <t>Congo (Brazzaville)</t>
  </si>
  <si>
    <t>Poulet Moambé</t>
  </si>
  <si>
    <t>Poulet Moambé Vegano (grão-de-bico e dendê)</t>
  </si>
  <si>
    <t>Grão-de-bico mantém consistência cremosa e corta emissões pela metade.</t>
  </si>
  <si>
    <t>a45</t>
  </si>
  <si>
    <t>Congo (Kinshasa)</t>
  </si>
  <si>
    <t>Saka-Saka (folhas e peixe)</t>
  </si>
  <si>
    <t>Saka-Saka Vegano (folhas e amendoim)</t>
  </si>
  <si>
    <t>Versão sem peixe reduz CO₂e e água, preservando o sabor africano tradicional.</t>
  </si>
  <si>
    <t>a46</t>
  </si>
  <si>
    <t>Coreia do Norte</t>
  </si>
  <si>
    <t>Naengmyeon (sopa fria com carne)</t>
  </si>
  <si>
    <t>Naengmyeon Vegano (tofu defumado e brotos)</t>
  </si>
  <si>
    <t>Sopa fria de verão ganha versão ética e sustentável com tofu defumado.</t>
  </si>
  <si>
    <t>a47</t>
  </si>
  <si>
    <t>Coreia do Sul</t>
  </si>
  <si>
    <t>Bibimbap (ovo e carne)</t>
  </si>
  <si>
    <t>Bibimbap Vegano (tofu e legumes)</t>
  </si>
  <si>
    <t>Cores, sabor e sustentabilidade no mesmo prato — 80% menos CO₂e e impacto hídrico.</t>
  </si>
  <si>
    <t>a48</t>
  </si>
  <si>
    <t>Costa do Marfim</t>
  </si>
  <si>
    <t>Garba (atum e mandioca)</t>
  </si>
  <si>
    <t>Garba Vegano (jaca e banana-da-terra)</t>
  </si>
  <si>
    <t>Substituir peixe por jaca reduz impacto e mantém o caráter de comida de rua nacional.</t>
  </si>
  <si>
    <t>a49</t>
  </si>
  <si>
    <t>Costa Rica</t>
  </si>
  <si>
    <t>Casado (carne e ovos)</t>
  </si>
  <si>
    <t>Casado Vegano (feijão, banana e abacate)</t>
  </si>
  <si>
    <t>108 000</t>
  </si>
  <si>
    <t>Casado vegano é nutricionalmente completo e 75% mais leve para o planeta.</t>
  </si>
  <si>
    <t>a50</t>
  </si>
  <si>
    <t>Croácia</t>
  </si>
  <si>
    <t>Pasticada (carne bovina)</t>
  </si>
  <si>
    <t>Pasticada Vegana (seitan e vinho tinto)</t>
  </si>
  <si>
    <t>Versão com seitan mantém complexidade de sabor e reduz 80% das emissões.</t>
  </si>
  <si>
    <t>a51</t>
  </si>
  <si>
    <t>Cuba</t>
  </si>
  <si>
    <t>Ropa Vieja (carne desfiada)</t>
  </si>
  <si>
    <t>Ropa Vieja Vegana (jaca e feijão)</t>
  </si>
  <si>
    <t>Jaca substitui carne com textura idêntica e 80% menos CO₂e.</t>
  </si>
  <si>
    <t>a52</t>
  </si>
  <si>
    <t>Dinamarca</t>
  </si>
  <si>
    <t>Smørrebrød com arenque/charque</t>
  </si>
  <si>
    <t>Smørrebrød Vegano (tofu defumado e vegetais)</t>
  </si>
  <si>
    <t>Sanduíche aberto mantém identidade nórdica com ~1,5 kg CO₂e e ~520 L poupados por porção.</t>
  </si>
  <si>
    <t>a53</t>
  </si>
  <si>
    <t>Djibouti</t>
  </si>
  <si>
    <t>Skoudehkaris (carne e arroz)</t>
  </si>
  <si>
    <t>Skoudehkaris Vegano (lentilhas e especiarias)</t>
  </si>
  <si>
    <t>Leguminosas substituem carne em prato único, cortando emissões e água em &gt;70%.</t>
  </si>
  <si>
    <t>a54</t>
  </si>
  <si>
    <t>Dominica</t>
  </si>
  <si>
    <t>Callaloo com peixe defumado</t>
  </si>
  <si>
    <t>Callaloo Vegano (folhas e coco)</t>
  </si>
  <si>
    <t>Versão sem peixe preserva sabor caribenho e reduz impacto hídrico e de carbono.</t>
  </si>
  <si>
    <t>a55</t>
  </si>
  <si>
    <t>Egito</t>
  </si>
  <si>
    <t>Koshari com manteiga/ghee</t>
  </si>
  <si>
    <t>Koshari Vegano (arroz, lentilhas e grão-de-bico)</t>
  </si>
  <si>
    <t>Prato de rua clássico fica 70% mais leve em CO₂e e ganha fibras.</t>
  </si>
  <si>
    <t>a56</t>
  </si>
  <si>
    <t>El Salvador</t>
  </si>
  <si>
    <t>Pupusas com queijo e chicharrón</t>
  </si>
  <si>
    <t>Pupusas Veganas (feijão e queijo de caju)</t>
  </si>
  <si>
    <t>Tirar laticínios e porco poupa ~1,7 kg CO₂e/porção mantendo tradição.</t>
  </si>
  <si>
    <t>a57</t>
  </si>
  <si>
    <t>Emirados Árabes Unidos</t>
  </si>
  <si>
    <t>Harees com frango/carne</t>
  </si>
  <si>
    <t>Harees Vegano (trigo e lentilhas)</t>
  </si>
  <si>
    <t>Substituição simples entrega grande redução de emissões e água no prato do Golfo.</t>
  </si>
  <si>
    <t>a58</t>
  </si>
  <si>
    <t>Equador</t>
  </si>
  <si>
    <t>Seco de carne</t>
  </si>
  <si>
    <t>Seco Vegano (seitan e arroz)</t>
  </si>
  <si>
    <t>Seitan reduz ~2,3 kg CO₂e e ~0,9 kL de água por refeição.</t>
  </si>
  <si>
    <t>a59</t>
  </si>
  <si>
    <t>Eritreia</t>
  </si>
  <si>
    <t>Zigni (carne ao berbere)</t>
  </si>
  <si>
    <t>Zigni Vegano (lentilhas ao berbere)</t>
  </si>
  <si>
    <t>Ensopado picante com lentilhas corta emissões e água sem perder identidade.</t>
  </si>
  <si>
    <t>a60</t>
  </si>
  <si>
    <t>Eslováquia</t>
  </si>
  <si>
    <t>Kapustnica com linguiça/porco</t>
  </si>
  <si>
    <t>Kapustnica Vegana (chucrute e grãos)</t>
  </si>
  <si>
    <t>Tirar carnes processadas diminui impacto e mantém tradição de inverno.</t>
  </si>
  <si>
    <t>a61</t>
  </si>
  <si>
    <t>Eslovênia</t>
  </si>
  <si>
    <t>Jota com carne defumada</t>
  </si>
  <si>
    <t>Jota Vegana (feijão e chucrute)</t>
  </si>
  <si>
    <t>Ensopado alpino fica mais leve para o planeta e mais rico em fibras.</t>
  </si>
  <si>
    <t>a62</t>
  </si>
  <si>
    <t>Espanha</t>
  </si>
  <si>
    <t>Paella de frutos do mar</t>
  </si>
  <si>
    <t>Paella Vegana (grão-de-bico e legumes)</t>
  </si>
  <si>
    <t>Grão-de-bico substitui frutos do mar com &gt;75% de redução de CO₂e.</t>
  </si>
  <si>
    <t>a63</t>
  </si>
  <si>
    <t>Estados Unidos</t>
  </si>
  <si>
    <t>Hambúrguer bovino</t>
  </si>
  <si>
    <t>Hambúrguer Vegano (lentilha/tofu)</t>
  </si>
  <si>
    <t>160 000</t>
  </si>
  <si>
    <t>Cada sanduíche vegetal evita ~3 kg CO₂e e ~1,2 kL de água.</t>
  </si>
  <si>
    <t>Poore &amp; Nemecek 2018; WAP 2023</t>
  </si>
  <si>
    <t>a64</t>
  </si>
  <si>
    <t>Estônia</t>
  </si>
  <si>
    <t>Rosolje com arenque/ovos</t>
  </si>
  <si>
    <t>Rosolje Vegano (beterraba e grão-de-bico)</t>
  </si>
  <si>
    <t>Versão sem peixe e ovos reduz impacto mantendo perfil tradicional.</t>
  </si>
  <si>
    <t>a65</t>
  </si>
  <si>
    <t>Etiópia</t>
  </si>
  <si>
    <t>Misir Wat com niter kibbeh (manteiga)</t>
  </si>
  <si>
    <t>Misir Wat Vegano (lentilhas, berbere e óleo vegetal)</t>
  </si>
  <si>
    <t>Lentilhas picantes com óleo vegetal poupam CO₂e/água e elevam fibras e ferro.</t>
  </si>
  <si>
    <t>a66</t>
  </si>
  <si>
    <t>Fiji</t>
  </si>
  <si>
    <t>Kokoda (peixe cru em leite de coco)</t>
  </si>
  <si>
    <t>Kokoda Vegano (tofu e leite de coco)</t>
  </si>
  <si>
    <t>Versão com tofu reduz CO₂e e água e mantém frescor cítrico da culinária fijiana.</t>
  </si>
  <si>
    <t>a667</t>
  </si>
  <si>
    <t>Filipinas</t>
  </si>
  <si>
    <t>Adobo (frango ou porco)</t>
  </si>
  <si>
    <t>Adobo Vegano (tofu e cogumelos)</t>
  </si>
  <si>
    <t>Mantém o sabor agridoce com 78% menos emissões e 900 L de água poupados por porção.</t>
  </si>
  <si>
    <t>a70</t>
  </si>
  <si>
    <t>Finlândia</t>
  </si>
  <si>
    <t>Karjalanpiirakka (ovo e manteiga)</t>
  </si>
  <si>
    <t>Karjalanpiirakka Vegano (aveia e manteiga vegetal)</t>
  </si>
  <si>
    <t>Tirar laticínios reduz impacto e mantém tradição de careélia.</t>
  </si>
  <si>
    <t>a71</t>
  </si>
  <si>
    <t>França</t>
  </si>
  <si>
    <t>Coq au Vin (frango e vinho)</t>
  </si>
  <si>
    <t>Coq au Vin Vegano (seitan e vinho tinto)</t>
  </si>
  <si>
    <t>Versão vegetal mantém sofisticação francesa e reduz &gt;80% das emissões e uso de água.</t>
  </si>
  <si>
    <t>a72</t>
  </si>
  <si>
    <t>Gabão</t>
  </si>
  <si>
    <t>Nyembwe (frango ao dendê)</t>
  </si>
  <si>
    <t>Nyembwe Vegano (grão-de-bico e dendê)</t>
  </si>
  <si>
    <t>Grão-de-bico substitui frango com corte de emissões e uso de recursos em mais de 70%.</t>
  </si>
  <si>
    <t>a73</t>
  </si>
  <si>
    <t>Gâmbia</t>
  </si>
  <si>
    <t>Domoda (carne e amendoim)</t>
  </si>
  <si>
    <t>Domoda Vegano (amendoim e feijão)</t>
  </si>
  <si>
    <t>Amendoim e feijão substituem carne com ~2 kg CO₂e poupados por porção.</t>
  </si>
  <si>
    <t>a74</t>
  </si>
  <si>
    <t>Gana</t>
  </si>
  <si>
    <t>Red Red (peixe seco)</t>
  </si>
  <si>
    <t>Red Red Vegano (feijão e banana)</t>
  </si>
  <si>
    <t>Versão sem peixe reduz 70% de impacto e preserva sabor afro-ocidental.</t>
  </si>
  <si>
    <t>a75</t>
  </si>
  <si>
    <t>Geórgia</t>
  </si>
  <si>
    <t>Khachapuri (queijo e ovo)</t>
  </si>
  <si>
    <t>Khachapuri Vegano (tofu e espinafre)</t>
  </si>
  <si>
    <t>Tofu substitui queijo mantendo cremosidade e cortando CO₂e e água.</t>
  </si>
  <si>
    <t>a76</t>
  </si>
  <si>
    <t>Gibraltar</t>
  </si>
  <si>
    <t>Fish and Chips</t>
  </si>
  <si>
    <t>Fishless and Chips Vegano (tofu e alga nori)</t>
  </si>
  <si>
    <t>Substituir peixe por tofu e nori reduz ~1,5 kg CO₂e/porção e 550 L de água.</t>
  </si>
  <si>
    <t>a77</t>
  </si>
  <si>
    <t>Grécia</t>
  </si>
  <si>
    <t>Moussaka (carne e queijo)</t>
  </si>
  <si>
    <t>Moussaka Vegana (lentilhas e bechamel de caju)</t>
  </si>
  <si>
    <t>Moussaka vegetal mantém sabor mediterrâneo e reduz &gt;75% das emissões e água.</t>
  </si>
  <si>
    <t>a78</t>
  </si>
  <si>
    <t>Granada</t>
  </si>
  <si>
    <t>Oil Down (carne salgada e coco)</t>
  </si>
  <si>
    <t>Oil Down Vegano (banana, batata e coco)</t>
  </si>
  <si>
    <t>Versão vegetal mantém sabor caribenho e reduz impacto hídrico.</t>
  </si>
  <si>
    <t>a79</t>
  </si>
  <si>
    <t>Guatemala</t>
  </si>
  <si>
    <t>Peppian (carne bovina)</t>
  </si>
  <si>
    <t>Peppian Vegano (lentilhas e milho)</t>
  </si>
  <si>
    <t>Prato ancestral maia ganha versão sustentável com 80% de emissões a menos.</t>
  </si>
  <si>
    <t>a80</t>
  </si>
  <si>
    <t>Guiné</t>
  </si>
  <si>
    <t>Poulet Yassa</t>
  </si>
  <si>
    <t>Poulet Yassa Vegano (tofu e limão)</t>
  </si>
  <si>
    <t>Tofu e limão substituem carne com sabor e leveza ecológica.</t>
  </si>
  <si>
    <t>a81</t>
  </si>
  <si>
    <t>Guiné-Bissau</t>
  </si>
  <si>
    <t>Caldo de Mancarra (carne e amendoim)</t>
  </si>
  <si>
    <t>Caldo de Mancarra Vegano (grão-de-bico e amendoim)</t>
  </si>
  <si>
    <t>Leguminosas cortam emissões e água em 70% mantendo cremosidade e sabor.</t>
  </si>
  <si>
    <t>a82</t>
  </si>
  <si>
    <t>Guiné Equatorial</t>
  </si>
  <si>
    <t>Sopa de peixe</t>
  </si>
  <si>
    <t>Sopa Vegana (legumes e algas)</t>
  </si>
  <si>
    <t>Versão vegetal oferece sabor marinho e menor pegada ambiental.</t>
  </si>
  <si>
    <t>a83</t>
  </si>
  <si>
    <t>Guiana</t>
  </si>
  <si>
    <t>Metemgee (peixe e coco)</t>
  </si>
  <si>
    <t>Metemgee Vegano (grão-de-bico e coco)</t>
  </si>
  <si>
    <t>Prato guianense fica mais sustentável com 72% menos CO₂e e igual sabor.</t>
  </si>
  <si>
    <t>a84</t>
  </si>
  <si>
    <t>Ratatouille (com queijo ou carne)</t>
  </si>
  <si>
    <t>Ratatouille Vegana (100% vegetal)</t>
  </si>
  <si>
    <t>Versão integralmente vegetal do clássico francês reduz emissões e valoriza vegetais locais.</t>
  </si>
  <si>
    <t>a85</t>
  </si>
  <si>
    <t>Haiti</t>
  </si>
  <si>
    <t>Griot (carne suína frita)</t>
  </si>
  <si>
    <t>Griot Vegano (jaca verde e cítricos)</t>
  </si>
  <si>
    <t>Jaca temperada reproduz textura e sabor com ~2,2 kg CO₂e e ~900 L de água poupados por porção.</t>
  </si>
  <si>
    <t>a86</t>
  </si>
  <si>
    <t>Holanda (Países Baixos)</t>
  </si>
  <si>
    <t>Stamppot com embutidos</t>
  </si>
  <si>
    <t>Stamppot Vegano (couve e batata com tofu)</t>
  </si>
  <si>
    <t>Tofu no lugar de embutidos reduz emissões e água mantendo conforto do prato de inverno.</t>
  </si>
  <si>
    <t>a88</t>
  </si>
  <si>
    <t>Honduras</t>
  </si>
  <si>
    <t>Baleada com ovos/queijo</t>
  </si>
  <si>
    <t>Baleada Vegana (feijão, abacate e tofu)</t>
  </si>
  <si>
    <t>Versão sem ovos e laticínios corta impacto hídrico e aumenta fibras e ferro.</t>
  </si>
  <si>
    <t>a89</t>
  </si>
  <si>
    <t>Hungria</t>
  </si>
  <si>
    <t>Gulyás (carne bovina)</t>
  </si>
  <si>
    <t>Gulyás Vegano (batata, páprica e feijões)</t>
  </si>
  <si>
    <t>Ensopado húngaro com leguminosas preserva sabor e reduz &gt;80% de CO₂e e ~1 kL de água por porção.</t>
  </si>
  <si>
    <t>a90</t>
  </si>
  <si>
    <t>Islândia</t>
  </si>
  <si>
    <t>Plokkfiskur (peixe e batata)</t>
  </si>
  <si>
    <t>Plokkfiskur Vegano (tofu e algas)</t>
  </si>
  <si>
    <t>Versão vegetal mantém tradição nórdica e reduz impacto ambiental em 70%.</t>
  </si>
  <si>
    <t>a91</t>
  </si>
  <si>
    <t>Índia</t>
  </si>
  <si>
    <t>Butter Chicken</t>
  </si>
  <si>
    <t>Curry de Grão-de-Bico Vegano</t>
  </si>
  <si>
    <t>Curry vegetal substitui frango e creme com 75% menos emissões e maior teor de fibra e ferro.</t>
  </si>
  <si>
    <t>Poore &amp; Nemecek 2018; IVU 2024; FAO 2022</t>
  </si>
  <si>
    <t>a92</t>
  </si>
  <si>
    <t>Indonésia</t>
  </si>
  <si>
    <t>Rendang (carne de boi e coco)</t>
  </si>
  <si>
    <t>Rendang Vegano (jaca e coco)</t>
  </si>
  <si>
    <t>Jaca substitui carne mantendo textura e sabor intenso com 80% menos impacto.</t>
  </si>
  <si>
    <t>a93</t>
  </si>
  <si>
    <t>Irã</t>
  </si>
  <si>
    <t>Ghormeh Sabzi (carne e ervas)</t>
  </si>
  <si>
    <t>Ghormeh Sabzi Vegano (tofu e feijão)</t>
  </si>
  <si>
    <t>Feijão e tofu reduzem CO₂e em 2,1 kg/porção e preservam sabor persa clássico.</t>
  </si>
  <si>
    <t>a94</t>
  </si>
  <si>
    <t>Iraque</t>
  </si>
  <si>
    <t>Kubba (carne e trigo)</t>
  </si>
  <si>
    <t>Kubba Vegano (trigo e lentilhas)</t>
  </si>
  <si>
    <t>Versão com lentilhas corta emissões e água sem perder textura tradicional.</t>
  </si>
  <si>
    <t>a95</t>
  </si>
  <si>
    <t>Irlanda</t>
  </si>
  <si>
    <t>Irish Stew (cordeiro e batata)</t>
  </si>
  <si>
    <t>Irish Stew Vegano (seitan e cevada)</t>
  </si>
  <si>
    <t>Ensopado vegetal mantém o sabor rústico com impacto ambiental reduzido em 80%.</t>
  </si>
  <si>
    <t>a96</t>
  </si>
  <si>
    <t>Israel</t>
  </si>
  <si>
    <t>Shakshuka (ovos e tomate)</t>
  </si>
  <si>
    <t>Shakshuka Vegana (tofu e grão-de-bico)</t>
  </si>
  <si>
    <t>Prato mediterrâneo sem ovos corta emissões e aumenta proteínas e fibras.</t>
  </si>
  <si>
    <t>a97</t>
  </si>
  <si>
    <t>Itália</t>
  </si>
  <si>
    <t>Lasagna (carne e queijo)</t>
  </si>
  <si>
    <t>Lasagna Vegana (lentilhas e bechamel vegetal)</t>
  </si>
  <si>
    <t>Lasanha vegetal reduz emissões em 83% e mantém o sabor reconfortante da culinária italiana.</t>
  </si>
  <si>
    <t>a98</t>
  </si>
  <si>
    <t>Jamaica</t>
  </si>
  <si>
    <t>Ackee &amp; Saltfish (peixe salgado)</t>
  </si>
  <si>
    <t>Ackee Vegano com Grão-de-bico (nori e pimenta scotch bonnet)</t>
  </si>
  <si>
    <t>Substituir o peixe salgado por grão-de-bico mantém o sabor caribenho (nori dá toque do mar) e reduz ~1,8 kg CO₂e e ~620 L de água por porção.</t>
  </si>
  <si>
    <t>a99</t>
  </si>
  <si>
    <t>Jordânia</t>
  </si>
  <si>
    <t>Mansaf (cordeiro e iogurte jameed)</t>
  </si>
  <si>
    <t>Mansaf Vegano (seitan e iogurte de caju)</t>
  </si>
  <si>
    <t>Versão vegana preserva o ritual beduíno e corta &gt;80% das emissões, poupando ~1 kL de água por porção ao trocar cordeiro e laticínios por alternativas vegetais.</t>
  </si>
  <si>
    <t>Poore &amp; Nemecek 2018; FAO 2022; Springmann 2021; IVU 2024</t>
  </si>
  <si>
    <t>a100</t>
  </si>
  <si>
    <t>Kosovo</t>
  </si>
  <si>
    <t>Flija (manteiga e ovos)</t>
  </si>
  <si>
    <t>Flija Vegana (farinha integral e leite vegetal)</t>
  </si>
  <si>
    <t>Versão sem ovos e manteiga mantém a essência tradicional e corta cerca de 66% das emissões e água.</t>
  </si>
  <si>
    <t>a101</t>
  </si>
  <si>
    <t>Kuwait</t>
  </si>
  <si>
    <t>Machboos (cordeiro e arroz)</t>
  </si>
  <si>
    <t>Versão vegana reduz mais de 2,5 kg CO₂e/porção e 900 L de água, preservando o aroma árabe clássico.</t>
  </si>
  <si>
    <t>a102</t>
  </si>
  <si>
    <t>Quirguistão</t>
  </si>
  <si>
    <t>Manty (carne bovina e cebola)</t>
  </si>
  <si>
    <t>Manty Vegano (lentilhas e abóbora)</t>
  </si>
  <si>
    <t>A troca do cordeiro por lentilhas reduz ~2 kg CO₂e e ~700 L de água/porção, preservando o prato símbolo da hospitalidade quirguiz.</t>
  </si>
  <si>
    <t>a103</t>
  </si>
  <si>
    <t>Laos</t>
  </si>
  <si>
    <t>Larb (carne picada com ervas)</t>
  </si>
  <si>
    <t>Larb Vegano (soja texturizada e ervas)</t>
  </si>
  <si>
    <t>Substituição da carne por soja texturizada mantém frescor e reduz ~1,8 kg CO₂e e ~700 L de água por porção.</t>
  </si>
  <si>
    <t>a104</t>
  </si>
  <si>
    <t>Lesoto</t>
  </si>
  <si>
    <t>Papa e Moroho com carne</t>
  </si>
  <si>
    <t>Moroho Vegano (folhas verdes e pap)</t>
  </si>
  <si>
    <t>Versão 100% vegetal preserva o cotidiano basotho com queda expressiva de emissões e água.</t>
  </si>
  <si>
    <t>a105</t>
  </si>
  <si>
    <t>Letônia</t>
  </si>
  <si>
    <t>Pelēkie zirņi ar speķi (ervilhas com bacon)</t>
  </si>
  <si>
    <t>Peléki Zirņi Vegano (ervilhas e tofu defumado)</t>
  </si>
  <si>
    <t>Tofu defumado substitui bacon mantendo tradição e reduzindo impactos em ~70%.</t>
  </si>
  <si>
    <t>a1076</t>
  </si>
  <si>
    <t>Líbano</t>
  </si>
  <si>
    <t>Kibbeh (carne e trigo)</t>
  </si>
  <si>
    <t>Kibbeh Vegano (abóbora e grão-de-bico)</t>
  </si>
  <si>
    <t>Kibbeh vegetal preserva especiarias e textura, poupando ~2,1 kg CO₂e e ~800 L de água por porção.</t>
  </si>
  <si>
    <t>Libéria</t>
  </si>
  <si>
    <t>Palava Sauce (folhas e peixe/carne)</t>
  </si>
  <si>
    <t>Palava Sauce Vegano (folhas e amendoim)</t>
  </si>
  <si>
    <t>Amendoim e folhas verdes reduzem pegada ambiental sem perder cremosidade típica.</t>
  </si>
  <si>
    <t>a108</t>
  </si>
  <si>
    <t>Líbia</t>
  </si>
  <si>
    <t>Bazeen (cordeiro e molho)</t>
  </si>
  <si>
    <t>Bazeen Vegano (cevada e ensopado de legumes)</t>
  </si>
  <si>
    <t>Tirar cordeiro do bazeen corta emissões e água, mantendo ritual do prato líbio.</t>
  </si>
  <si>
    <t>a109</t>
  </si>
  <si>
    <t>Liechtenstein</t>
  </si>
  <si>
    <t>Käsknöpfle (queijo e manteiga)</t>
  </si>
  <si>
    <t>Käsknöpfle Vegano (creme de caju)</t>
  </si>
  <si>
    <t>Remoção de laticínios reduz CO₂e e água preservando conforto alpino.</t>
  </si>
  <si>
    <t>a1010</t>
  </si>
  <si>
    <t>Lituânia</t>
  </si>
  <si>
    <t>Cepelinai (carne suína)</t>
  </si>
  <si>
    <t>Cepelinai Vegano (cogumelos)</t>
  </si>
  <si>
    <t>Bolinhos de batata com cogumelos mantêm identidade báltica e caem ~2,4 kg CO₂e/porção.</t>
  </si>
  <si>
    <t>a111</t>
  </si>
  <si>
    <t>Luxemburgo</t>
  </si>
  <si>
    <t>Judd mat Gaardebounen (carne de porco)</t>
  </si>
  <si>
    <t>Judd Vegano (tofu defumado e feijões)</t>
  </si>
  <si>
    <t>Tofu defumado substitui o porco com 80% menos impacto e sabor autêntico preservado.</t>
  </si>
  <si>
    <t>a112</t>
  </si>
  <si>
    <t>Madagascar</t>
  </si>
  <si>
    <t>Ravitoto (carne e folhas de mandioca)</t>
  </si>
  <si>
    <t>Ravitoto Vegano (folhas e amendoim)</t>
  </si>
  <si>
    <t>Versão sem carne reduz emissões e água mantendo a base vegetal malgaxe tradicional.</t>
  </si>
  <si>
    <t>a113</t>
  </si>
  <si>
    <t>Malásia</t>
  </si>
  <si>
    <t>Nasi Lemak (peixe, ovos)</t>
  </si>
  <si>
    <t>Nasi Lemak Vegano (tempeh e coco)</t>
  </si>
  <si>
    <t>Tempeh substitui proteína animal e reduz ~1,9 kg CO₂e/porção, mantendo equilíbrio de sabores.</t>
  </si>
  <si>
    <t>a114</t>
  </si>
  <si>
    <t>Malawi</t>
  </si>
  <si>
    <t>Nsima com frango</t>
  </si>
  <si>
    <t>Nsima Vegano (feijão e vegetais)</t>
  </si>
  <si>
    <t>Substituir frango por feijão corta emissões e mantém sustento nutricional.</t>
  </si>
  <si>
    <t>a115</t>
  </si>
  <si>
    <t>Mali</t>
  </si>
  <si>
    <t>Tigadèguèna (carne e amendoim)</t>
  </si>
  <si>
    <t>Tigadèguèna Vegano (amendoim e feijão-fradinho)</t>
  </si>
  <si>
    <t>Versão sem carne mantém textura e sabor com ~70% menos CO₂e.</t>
  </si>
  <si>
    <t>a116</t>
  </si>
  <si>
    <t>Malta</t>
  </si>
  <si>
    <t>Fenek (coelho)</t>
  </si>
  <si>
    <t>Fenek Vegano (seitan e ervas mediterrâneas)</t>
  </si>
  <si>
    <t>Seitan substitui carne mantendo perfil aromático e reduzindo impacto em 80%.</t>
  </si>
  <si>
    <t>a117</t>
  </si>
  <si>
    <t>Marrocos</t>
  </si>
  <si>
    <t>Tagine de cordeiro</t>
  </si>
  <si>
    <t>Tagine Vegano (grão-de-bico e legumes)</t>
  </si>
  <si>
    <t>Corte de emissões e água em mais de 75%, com ingredientes locais tradicionais.</t>
  </si>
  <si>
    <t>a118</t>
  </si>
  <si>
    <t>Mauritânia</t>
  </si>
  <si>
    <t>Thieboudienne (peixe e arroz)</t>
  </si>
  <si>
    <t>Thieboudienne Vegano (tofu e algas)</t>
  </si>
  <si>
    <t>Versão com tofu e algas reduz pegada ecológica e preserva sabor do Atlântico.</t>
  </si>
  <si>
    <t>a119</t>
  </si>
  <si>
    <t>Maurício</t>
  </si>
  <si>
    <t>Curry de polvo</t>
  </si>
  <si>
    <t>Curry Vegano (jaca e coco)</t>
  </si>
  <si>
    <t>Jaca substitui frutos do mar mantendo sabor picante e cortando 70% das emissões.</t>
  </si>
  <si>
    <t>a120</t>
  </si>
  <si>
    <t>México</t>
  </si>
  <si>
    <t>Tacos al Pastor (porco)</t>
  </si>
  <si>
    <t>Tacos Veganos (jaca e abacaxi)</t>
  </si>
  <si>
    <t>Tacos de jaca mantêm tradição e sabor, com redução de ~2,5 kg CO₂e e ~920 L de água por porção.</t>
  </si>
  <si>
    <t>a121</t>
  </si>
  <si>
    <t>Micronésia</t>
  </si>
  <si>
    <t>Pescado em leite de coco</t>
  </si>
  <si>
    <t>Pescado Vegano (tofu e coco)</t>
  </si>
  <si>
    <t>Versão sem peixe mantém frescor tropical e reduz impacto ambiental.</t>
  </si>
  <si>
    <t>a1122</t>
  </si>
  <si>
    <t>Moçambique</t>
  </si>
  <si>
    <t>Matapa (peixe seco e amendoim)</t>
  </si>
  <si>
    <t>Matapa Vegana (folhas e amendoim)</t>
  </si>
  <si>
    <t>Amendoim e folhas garantem nutrição e reduzem 70% das emissões e do uso de água.</t>
  </si>
  <si>
    <t>a123</t>
  </si>
  <si>
    <t>Moldávia</t>
  </si>
  <si>
    <t>Mămăligă com queijo/creme</t>
  </si>
  <si>
    <t>Mămăligă Vegana (cogumelos e creme de caju)</t>
  </si>
  <si>
    <t>Remover laticínios reduz CO₂e e água, mantendo o conforto do prato camponês moldavo.</t>
  </si>
  <si>
    <t>Poore &amp; Nemecek 2018; Springmann 2021; FAO 2022; IVU 2024</t>
  </si>
  <si>
    <t>a124</t>
  </si>
  <si>
    <t>Mônaco</t>
  </si>
  <si>
    <t>Barbagiuan (frito com queijo e ovo)</t>
  </si>
  <si>
    <t>Barbagiuan Vegano (acelga e ervas)</t>
  </si>
  <si>
    <t>Barbagiuan sem laticínios preserva identidade e corta ~1,2 kg CO₂e/porção.</t>
  </si>
  <si>
    <t>Poore &amp; Nemecek 2018; Springmann 2021; FAO 2022</t>
  </si>
  <si>
    <t>a125</t>
  </si>
  <si>
    <t>Mongólia</t>
  </si>
  <si>
    <t>Buuz (dumpling de carne)</t>
  </si>
  <si>
    <t>Buuz Vegano (lentilhas e cebola)</t>
  </si>
  <si>
    <t>Dumplings de lentilhas mantêm o ritual nômade com queda &gt;70% de emissões e água.</t>
  </si>
  <si>
    <t>a126</t>
  </si>
  <si>
    <t>Montenegro</t>
  </si>
  <si>
    <t>Ćevapi (carne grelhada)</t>
  </si>
  <si>
    <t>Ćevapi Vegano (seitan e ervas)</t>
  </si>
  <si>
    <t>Seitan substitui carne com ~2,6 kg CO₂e e ~1 kL de água poupados por porção.</t>
  </si>
  <si>
    <t>a127</t>
  </si>
  <si>
    <t>Myanmar</t>
  </si>
  <si>
    <t>Mohinga (sopa de peixe)</t>
  </si>
  <si>
    <t>Mohinga Vegano (grão-de-bico e arroz)</t>
  </si>
  <si>
    <t>Versão sem peixe reduz impacto e mantém caldo aromático clássico.</t>
  </si>
  <si>
    <t>a128</t>
  </si>
  <si>
    <t>Namíbia</t>
  </si>
  <si>
    <t>Kapana (carne bovina grelhada)</t>
  </si>
  <si>
    <t>Kapana Vegano (feijão-fradinho e pap de milhete)</t>
  </si>
  <si>
    <t>Trocar bovinos por leguminosas corta drasticamente CO₂e, água e terra usados.</t>
  </si>
  <si>
    <t>a129</t>
  </si>
  <si>
    <t>Nauru</t>
  </si>
  <si>
    <t>Coconut Fish (peixe ao coco)</t>
  </si>
  <si>
    <t>Coconut Vegano (tofu e coco)</t>
  </si>
  <si>
    <t>Sabor oceânico via nori/tofu com 70% menos impacto que peixe.</t>
  </si>
  <si>
    <t>a130</t>
  </si>
  <si>
    <t>Nepal</t>
  </si>
  <si>
    <t>Dal Bhat (com ghee/queijo)</t>
  </si>
  <si>
    <t>Dal Bhat Vegano (lentilhas, arroz e óleo vegetal)</t>
  </si>
  <si>
    <t>Tirar ghee e focar em leguminosas reduz CO₂e/água e aumenta ferro e fibras.</t>
  </si>
  <si>
    <t>a131</t>
  </si>
  <si>
    <t>Nicarágua</t>
  </si>
  <si>
    <t>Gallo Pinto (com ovos/queijo)</t>
  </si>
  <si>
    <t>Gallo Pinto Vegano (feijão e banana)</t>
  </si>
  <si>
    <t>Eliminar ovos/laticínios torna o prato cotidiano ainda mais sustentável.</t>
  </si>
  <si>
    <t>a132</t>
  </si>
  <si>
    <t>Níger</t>
  </si>
  <si>
    <t>Ensopado de amendoim com carne</t>
  </si>
  <si>
    <t>Djerma Stew Vegano (amendoim e legumes)</t>
  </si>
  <si>
    <t>Legumes e amendoim reduzem emissões e água mantendo a cremosidade típica.</t>
  </si>
  <si>
    <t>a133</t>
  </si>
  <si>
    <t>Nigéria</t>
  </si>
  <si>
    <t>Jollof com frango</t>
  </si>
  <si>
    <t>Jollof Vegano (arroz e vegetais)</t>
  </si>
  <si>
    <t>Clássico oeste-africano com 2 kg CO₂e e ~720 L de água poupados por porção.</t>
  </si>
  <si>
    <t>a134</t>
  </si>
  <si>
    <t>Noruega</t>
  </si>
  <si>
    <t>Fårikål (cordeiro e repolho)</t>
  </si>
  <si>
    <t>Fårikål Vegano (seitan, repolho e batata)</t>
  </si>
  <si>
    <t>Versão vegetal mantém o aconchego nórdico com &gt;80% de emissões e água a menos.</t>
  </si>
  <si>
    <t>a135</t>
  </si>
  <si>
    <t>Omã</t>
  </si>
  <si>
    <t>Majboos (cordeiro e arroz)</t>
  </si>
  <si>
    <t>Majboos Vegano (grão-de-bico e especiarias)</t>
  </si>
  <si>
    <t>Substituição de cordeiro por leguminosas reduz 77% das emissões e preserva o sabor árabe.</t>
  </si>
  <si>
    <t>a136</t>
  </si>
  <si>
    <t>Paquistão</t>
  </si>
  <si>
    <t>Biryani de Frango</t>
  </si>
  <si>
    <t>Versão vegetal mantém riqueza de especiarias e reduz drasticamente o impacto ambiental.</t>
  </si>
  <si>
    <t>a137</t>
  </si>
  <si>
    <t>Palau</t>
  </si>
  <si>
    <t>Peixe grelhado ao coco</t>
  </si>
  <si>
    <t>Tofu ao Coco Vegano (com nori e limão)</t>
  </si>
  <si>
    <t>Versão vegetal mantém notas marinhas e corta CO₂e e água em cerca de 70%.</t>
  </si>
  <si>
    <t>a138</t>
  </si>
  <si>
    <t>Panamá</t>
  </si>
  <si>
    <t>Sancocho de galinha</t>
  </si>
  <si>
    <t>Sancocho Vegano (inhame, milho e feijão)</t>
  </si>
  <si>
    <t>Prato de domingo ganha versão vegetal nutritiva e 72% mais leve ambientalmente.</t>
  </si>
  <si>
    <t>a139</t>
  </si>
  <si>
    <t>Papua-Nova Guiné</t>
  </si>
  <si>
    <t>Mumu (carne e legumes assados)</t>
  </si>
  <si>
    <t>Mumu Vegano (taro, batata e coco)</t>
  </si>
  <si>
    <t>Versão vegetal mantém ritual comunitário e reduz cerca de 2 kg CO₂e por porção.</t>
  </si>
  <si>
    <t>a140</t>
  </si>
  <si>
    <t>Paraguai</t>
  </si>
  <si>
    <t>Sopa Paraguaya (com ovos e queijo)</t>
  </si>
  <si>
    <t>Sopa Vegana (milho e tofu)</t>
  </si>
  <si>
    <t>Tirar laticínios e ovos reduz emissões e água mantendo sabor tradicional.</t>
  </si>
  <si>
    <t>a141</t>
  </si>
  <si>
    <t>Peru</t>
  </si>
  <si>
    <t>Ceviche (peixe e frutos do mar)</t>
  </si>
  <si>
    <t>Ceviche Vegano (palmito e algas)</t>
  </si>
  <si>
    <t>Palmito e nori recriam o sabor do mar com 70% menos impacto ambiental.</t>
  </si>
  <si>
    <t>a142</t>
  </si>
  <si>
    <t>Polônia</t>
  </si>
  <si>
    <t>Bigos (carne e repolho)</t>
  </si>
  <si>
    <t>Bigos Vegano (seitan e chucrute)</t>
  </si>
  <si>
    <t>Versão vegetal mantém aroma defumado e reduz emissões em mais de 75%.</t>
  </si>
  <si>
    <t>a143</t>
  </si>
  <si>
    <t>Portugal</t>
  </si>
  <si>
    <t>Bacalhau à Brás (peixe e ovos)</t>
  </si>
  <si>
    <t>Bacalhau Vegano (palmito e grão-de-bico)</t>
  </si>
  <si>
    <t>Palmito e grão-de-bico recriam textura e sabor do bacalhau com 71% menos impacto.</t>
  </si>
  <si>
    <t>a144</t>
  </si>
  <si>
    <t>Porto Rico</t>
  </si>
  <si>
    <t>Mofongo (carne de porco e banana)</t>
  </si>
  <si>
    <t>Mofongo Vegano (grão-de-bico e banana)</t>
  </si>
  <si>
    <t>Versão vegana mantém essência caribenha e corta mais de 70% das emissões e água.</t>
  </si>
  <si>
    <t>a145</t>
  </si>
  <si>
    <t>Qatar</t>
  </si>
  <si>
    <t>Machboos (frango e carne)</t>
  </si>
  <si>
    <t>Machboos Vegano (lentilhas e especiarias)</t>
  </si>
  <si>
    <t>Receita aromática ganha leveza e sustentabilidade com 78% de redução de CO₂e.</t>
  </si>
  <si>
    <t>a146</t>
  </si>
  <si>
    <t>Romênia</t>
  </si>
  <si>
    <t>Sarmale (repolho e carne suína)</t>
  </si>
  <si>
    <t>Sarmale Vegano (arroz, lentilhas e cogumelos)</t>
  </si>
  <si>
    <t>Versão vegana preserva o sabor tradicional e reduz ~2,4 kg CO₂e e ~900 L de água por porção.</t>
  </si>
  <si>
    <t>a147</t>
  </si>
  <si>
    <t>Ruanda</t>
  </si>
  <si>
    <t>Isombe (folhas e peixe seco)</t>
  </si>
  <si>
    <t>Isombe Vegano (folhas e amendoim)</t>
  </si>
  <si>
    <t>Folhas e amendoim substituem peixe com 70% menos impacto e nutrição aprimorada.</t>
  </si>
  <si>
    <t>a148</t>
  </si>
  <si>
    <t>Rússia</t>
  </si>
  <si>
    <t>Borscht (carne e creme azedo)</t>
  </si>
  <si>
    <t>Borscht Vegano (beterraba e creme de caju)</t>
  </si>
  <si>
    <t>Borscht vegetal mantém cor e sabor característicos com ~1,8 kg CO₂e a menos por porção.</t>
  </si>
  <si>
    <t>a149</t>
  </si>
  <si>
    <t>Ilhas Salomão</t>
  </si>
  <si>
    <t>Peixe ao coco</t>
  </si>
  <si>
    <t>Tofu ao coco (com nori)</t>
  </si>
  <si>
    <t>Sabor oceânico via nori, com ~70% menos emissões e água por porção.</t>
  </si>
  <si>
    <t>a150</t>
  </si>
  <si>
    <t>Samoa</t>
  </si>
  <si>
    <t>Palusami (peixe/carne com taro e coco)</t>
  </si>
  <si>
    <t>Palusami Vegano (folhas de taro e coco)</t>
  </si>
  <si>
    <t>Preserva o ritual polinésio e reduz impacto hídrico e de carbono.</t>
  </si>
  <si>
    <t>a151</t>
  </si>
  <si>
    <t>San Marino</t>
  </si>
  <si>
    <t>Piada com frios e queijos</t>
  </si>
  <si>
    <t>Piada Vegana (tofu defumado e verduras)</t>
  </si>
  <si>
    <t>Tirar laticínios e embutidos reduz CO₂e mantendo identidade italiana.</t>
  </si>
  <si>
    <t>a152</t>
  </si>
  <si>
    <t>Santa Lúcia</t>
  </si>
  <si>
    <t>Peixe grelhado com banana</t>
  </si>
  <si>
    <t>Tofu grelhado com banana-da-terra</t>
  </si>
  <si>
    <t>Versão sem peixe mantém equilíbrio caribenho com ~70% menos impacto.</t>
  </si>
  <si>
    <t>a153</t>
  </si>
  <si>
    <t>São Cristóvão e Névis</t>
  </si>
  <si>
    <t>Goat Water (ensopado de cabra)</t>
  </si>
  <si>
    <t>Goat Water Vegano (feijões e legumes)</t>
  </si>
  <si>
    <t>Leguminosas substituem carne com grande queda de CO₂e e água.</t>
  </si>
  <si>
    <t>a154</t>
  </si>
  <si>
    <t>São Tomé e Príncipe</t>
  </si>
  <si>
    <t>Calulu de peixe</t>
  </si>
  <si>
    <t>Calulu Vegano (folhas e grão-de-bico)</t>
  </si>
  <si>
    <t>Calulu 100% vegetal reduz impacto e preserva sabores locais.</t>
  </si>
  <si>
    <t>a155</t>
  </si>
  <si>
    <t>São Vicente e Granadinas</t>
  </si>
  <si>
    <t>Fruta-pão com peixe</t>
  </si>
  <si>
    <t>Fruta-pão assada com feijão-preto</t>
  </si>
  <si>
    <t>Mantém tradição da fruta-pão com menor pegada ecológica.</t>
  </si>
  <si>
    <t>a156</t>
  </si>
  <si>
    <t>Senegal</t>
  </si>
  <si>
    <t>Poulet Yassa (frango)</t>
  </si>
  <si>
    <t>Yassa Vegano (tofu e limão)</t>
  </si>
  <si>
    <t>Sabor cítrico preservado com ~2 kg CO₂e poupados por porção.</t>
  </si>
  <si>
    <t>a157</t>
  </si>
  <si>
    <t>Serra Leoa</t>
  </si>
  <si>
    <t>Groundnut Stew (carne e amendoim)</t>
  </si>
  <si>
    <t>Groundnut Stew Vegano (amendoim e feijão)</t>
  </si>
  <si>
    <t>Cremoso e nutritivo, com 70% menos emissões e água.</t>
  </si>
  <si>
    <t>a158</t>
  </si>
  <si>
    <t>Sérvia</t>
  </si>
  <si>
    <t>Seitan preserva o ritual dos grelhados com &gt;80% menos CO₂e.</t>
  </si>
  <si>
    <t>a159</t>
  </si>
  <si>
    <t>Seychelles</t>
  </si>
  <si>
    <t>Peixe ao curry e coco</t>
  </si>
  <si>
    <t>Curry Vegano de abóbora e coco</t>
  </si>
  <si>
    <t>Versão insular aromática com queda robusta de emissões e água.</t>
  </si>
  <si>
    <t>a160</t>
  </si>
  <si>
    <t>Singapura</t>
  </si>
  <si>
    <t>Laksa (camarão/peixe)</t>
  </si>
  <si>
    <t>Laksa Vegana (tofu, nori e coco)</t>
  </si>
  <si>
    <t>Sopa icônica com perfil marinho e ~1,8 kg CO₂e poupados por porção.</t>
  </si>
  <si>
    <t>a161</t>
  </si>
  <si>
    <t>Síria</t>
  </si>
  <si>
    <t>Textura e especiarias preservadas com forte redução ambiental.</t>
  </si>
  <si>
    <t>a162</t>
  </si>
  <si>
    <t>Somália</t>
  </si>
  <si>
    <t>Bariis iskukaris (arroz com carne)</t>
  </si>
  <si>
    <t>Bariis Vegano (grão-de-bico e especiarias)</t>
  </si>
  <si>
    <t>Arroz especiado com leguminosas corta emissões e uso de água.</t>
  </si>
  <si>
    <t>a163</t>
  </si>
  <si>
    <t>Sri Lanka</t>
  </si>
  <si>
    <t>Fish Ambul Thiyal</t>
  </si>
  <si>
    <t>Curry Vegano (tofu e tamarindo)</t>
  </si>
  <si>
    <t>Notas ácidas e picantes preservadas, com ~70% menos impacto.</t>
  </si>
  <si>
    <t>a164</t>
  </si>
  <si>
    <t>Eswatini (Suazilândia)</t>
  </si>
  <si>
    <t>Umncweba (carne seca)</t>
  </si>
  <si>
    <t>Umncweba Vegano (feijões e milho)</t>
  </si>
  <si>
    <t>Versão acessível e sustentável com ingredientes locais.</t>
  </si>
  <si>
    <t>a165</t>
  </si>
  <si>
    <t>Sudão</t>
  </si>
  <si>
    <t>Ful medames com laticínios</t>
  </si>
  <si>
    <t>Ful Vegano (fava e tahine)</t>
  </si>
  <si>
    <t>Retira laticínios e mantém tradição de rua, com menor pegada.</t>
  </si>
  <si>
    <t>a166</t>
  </si>
  <si>
    <t>Sudão do Sul</t>
  </si>
  <si>
    <t>Asida com carne</t>
  </si>
  <si>
    <t>Asida Vegana (milho e molho de feijão)</t>
  </si>
  <si>
    <t>Papa tradicional ganha versão proteica vegetal com 70% menos emissões.</t>
  </si>
  <si>
    <t>a167</t>
  </si>
  <si>
    <t>Suécia</t>
  </si>
  <si>
    <t>Köttbullar (almôndegas de carne)</t>
  </si>
  <si>
    <t>Köttbullar Veganas (grão-de-bico e aveia)</t>
  </si>
  <si>
    <t>Almôndegas vegetais mantêm conforto nórdico com forte queda ambiental.</t>
  </si>
  <si>
    <t>a168</t>
  </si>
  <si>
    <t>Suíça</t>
  </si>
  <si>
    <t>Fondue (queijo)</t>
  </si>
  <si>
    <t>Fondue Vegana (creme de caju e vinho)</t>
  </si>
  <si>
    <t>Substituir laticínios reduz CO₂e e água mantendo a experiência alpina.</t>
  </si>
  <si>
    <t>a169</t>
  </si>
  <si>
    <t>Suriname</t>
  </si>
  <si>
    <t>Pom (frango)</t>
  </si>
  <si>
    <t>Pom Vegano (jaca e batata)</t>
  </si>
  <si>
    <t>Jaca reproduz textura da carne com &gt;75% de redução de emissões e água.</t>
  </si>
  <si>
    <t>a170</t>
  </si>
  <si>
    <t>Tailândia</t>
  </si>
  <si>
    <t>Pad Thai (ovo/camarão)</t>
  </si>
  <si>
    <t>Pad Thai Vegano (tofu e tamarindo)</t>
  </si>
  <si>
    <t>Sabor agridoce preservado com ~1,8 kg CO₂e e ~650 L de água poupados por porção.</t>
  </si>
  <si>
    <t>a171</t>
  </si>
  <si>
    <t>Tajiquistão</t>
  </si>
  <si>
    <t>Qurutob (laticínios)</t>
  </si>
  <si>
    <t>Qurutob Vegano (iogurte de caju e pão)</t>
  </si>
  <si>
    <t>Retirar laticínios reduz impacto mantendo o ritual compartilhado do prato.</t>
  </si>
  <si>
    <t>a172</t>
  </si>
  <si>
    <t>Tanzânia</t>
  </si>
  <si>
    <t>Pilau com carne</t>
  </si>
  <si>
    <t>Pilau Vegano (grão-de-bico e especiarias)</t>
  </si>
  <si>
    <t>Arroz aromático com leguminosas corta emissões e água em ~70–80%.</t>
  </si>
  <si>
    <t>a173</t>
  </si>
  <si>
    <t>Tchéquia</t>
  </si>
  <si>
    <t>Svíčková (carne e creme)</t>
  </si>
  <si>
    <t>Svíčková Vegana (seitan e creme de caju)</t>
  </si>
  <si>
    <t>Versão vegetal mantém molho clássico e reduz &gt;80% das emissões.</t>
  </si>
  <si>
    <t>a174</t>
  </si>
  <si>
    <t>Timor-Leste</t>
  </si>
  <si>
    <t>Ikan Pepes (peixe)</t>
  </si>
  <si>
    <t>Pepes Vegano (tofu e banana-da-terra)</t>
  </si>
  <si>
    <t>Tofu no papillote de folhas preserva método tradicional com 70% menos impacto.</t>
  </si>
  <si>
    <t>a175</t>
  </si>
  <si>
    <t>Togo</t>
  </si>
  <si>
    <t>Ablo com peixe</t>
  </si>
  <si>
    <t>Ablo Vegano com feijão guisado</t>
  </si>
  <si>
    <t>Pão de milho com leguminosas mantém identidade e reduz pegada ecológica.</t>
  </si>
  <si>
    <t>a176</t>
  </si>
  <si>
    <t>Tonga</t>
  </si>
  <si>
    <t>‘Ota ika (peixe cru no coco)</t>
  </si>
  <si>
    <t>‘Ota Vegano (tofu marinado e coco)</t>
  </si>
  <si>
    <t>96 000</t>
  </si>
  <si>
    <t>Marinar tofu em limão e coco recria o perfil oceânico com menor impacto.</t>
  </si>
  <si>
    <t>a177</t>
  </si>
  <si>
    <t>Trinidad e Tobago</t>
  </si>
  <si>
    <t>Doubles (com chutney e às vezes peixe)</t>
  </si>
  <si>
    <t>Doubles 100% Vegano (grão-de-bico)</t>
  </si>
  <si>
    <t>Street food icônica já é majoritariamente vegetal — ajuste torna-a ainda mais sustentável.</t>
  </si>
  <si>
    <t>a178</t>
  </si>
  <si>
    <t>Tunísia</t>
  </si>
  <si>
    <t>Couscous Vegano (grão-de-bico e harissa)</t>
  </si>
  <si>
    <t>Clássico magrebino com leguminosas reduz ~2,3 kg CO₂e/porção.</t>
  </si>
  <si>
    <t>a179</t>
  </si>
  <si>
    <t>Turcomenistão</t>
  </si>
  <si>
    <t>Pilaf (carne e arroz)</t>
  </si>
  <si>
    <t>Pilaf Vegano (lentilhas e cenoura)</t>
  </si>
  <si>
    <t>Substituição simples mantém tradição de mesa e corta impacto em ~75%.</t>
  </si>
  <si>
    <t>a180</t>
  </si>
  <si>
    <t>Turquia</t>
  </si>
  <si>
    <t>İmam Bayıldı (por vezes com carne)</t>
  </si>
  <si>
    <t>İmam Bayıldı Vegano (berinjela, tomate e azeite)</t>
  </si>
  <si>
    <t>Clássico otomano 100% vegetal com grande economia hídrica e de CO₂e.</t>
  </si>
  <si>
    <t>a181</t>
  </si>
  <si>
    <t>Tuvalu</t>
  </si>
  <si>
    <t>Perfil marítimo preservado via nori e ~70% menos impacto ambiental.</t>
  </si>
  <si>
    <t>a182</t>
  </si>
  <si>
    <t>Ucrânia</t>
  </si>
  <si>
    <t>Varenyky recheado com carne/queijo</t>
  </si>
  <si>
    <t>Varenyky Vegano (batata, cebola e cogumelos)</t>
  </si>
  <si>
    <t>Mantém o conforto eslavo com ~1,8 kg CO₂e e ~700 L de água poupados por porção ao retirar carne e laticínios.</t>
  </si>
  <si>
    <t>a183</t>
  </si>
  <si>
    <t>Uganda</t>
  </si>
  <si>
    <t>Luwombo de frango (cozido na folha de bananeira)</t>
  </si>
  <si>
    <t>Luwombo Vegano (amendoim, feijão e cogumelos)</t>
  </si>
  <si>
    <t>Prato emblemático buganda preserva técnica tradicional e reduz fortemente emissões, água e terra.</t>
  </si>
  <si>
    <t>a184</t>
  </si>
  <si>
    <t>Uruguai</t>
  </si>
  <si>
    <t>Asado (grelhados bovinos)</t>
  </si>
  <si>
    <t>Asado Vegano (legumes, jaca e feijões)</t>
  </si>
  <si>
    <t>3,1</t>
  </si>
  <si>
    <t>Grelhados vegetais entregam a experiência parrillera com &gt;3 kg CO₂e e ~1,2 kL de água poupados/porção.</t>
  </si>
  <si>
    <t>a185</t>
  </si>
  <si>
    <t>Uzbequistão</t>
  </si>
  <si>
    <t>Plov/Osh (cordeiro e arroz)</t>
  </si>
  <si>
    <t>Plov Vegano (grão-de-bico, cenoura e cominho)</t>
  </si>
  <si>
    <t>Ícone uzbeque ganha versão de leguminosas que mantém aroma e corta ~2,5 kg CO₂e por porção.</t>
  </si>
  <si>
    <t>a186</t>
  </si>
  <si>
    <t>Vanuatu</t>
  </si>
  <si>
    <t>Laplap (carne e raiz de taro)</t>
  </si>
  <si>
    <t>Laplap Vegano (taro, coco e legumes)</t>
  </si>
  <si>
    <t>Prato nacional preserva a tradição das raízes e reduz ~70% das emissões e uso de água.</t>
  </si>
  <si>
    <t>a187</t>
  </si>
  <si>
    <t>Vaticano</t>
  </si>
  <si>
    <t>Pasta alla Carbonara (ovo e bacon)</t>
  </si>
  <si>
    <t>Pasta Carbonara Vegana (tofu defumado e creme de castanha)</t>
  </si>
  <si>
    <t>Versão ética e compatível com valores de compaixão, cortando 74% do impacto climático.</t>
  </si>
  <si>
    <t>a188</t>
  </si>
  <si>
    <t>Venezuela</t>
  </si>
  <si>
    <t>Pabellón Criollo (carne, arroz e banana)</t>
  </si>
  <si>
    <t>Pabellón Vegano (feijão-preto, jaca e banana)</t>
  </si>
  <si>
    <t>Receita icônica com feijão e jaca reduz ~2,1 kg CO₂e/porção e mantém sabor criollo.</t>
  </si>
  <si>
    <t>a189</t>
  </si>
  <si>
    <t>Vietnã</t>
  </si>
  <si>
    <t>Phở (sopa de carne)</t>
  </si>
  <si>
    <t>Phở Vegano (tofu, brotos e ervas)</t>
  </si>
  <si>
    <t>118 000</t>
  </si>
  <si>
    <t>Caldo aromático e leve com mais fibras e 78% menos emissões.</t>
  </si>
  <si>
    <t>a190</t>
  </si>
  <si>
    <t>Wallis e Futuna</t>
  </si>
  <si>
    <t>Peixe no leite de coco</t>
  </si>
  <si>
    <t>Peixe Vegano (tofu e algas)</t>
  </si>
  <si>
    <t>Tofu e nori simulam textura e sabor oceânico com 70% menos impacto ambiental.</t>
  </si>
  <si>
    <t>a191</t>
  </si>
  <si>
    <t>Iêmen</t>
  </si>
  <si>
    <t>Salta (carne e fava)</t>
  </si>
  <si>
    <t>Salta Vegano (fava e batata)</t>
  </si>
  <si>
    <t>Versão vegana mantém o prato nacional com 73% menos impacto e igual nutrição.</t>
  </si>
  <si>
    <t>a192</t>
  </si>
  <si>
    <t>Zâmbia</t>
  </si>
  <si>
    <t>Nshima (com frango ou peixe)</t>
  </si>
  <si>
    <t>Nshima Vegana (milho e feijão)</t>
  </si>
  <si>
    <t>Alimento básico ganha versão mais sustentável sem perda cultural.</t>
  </si>
  <si>
    <t>a193</t>
  </si>
  <si>
    <t>Zimbábue</t>
  </si>
  <si>
    <t>Sadza (com carne e legumes)</t>
  </si>
  <si>
    <t>Sadza Vegano (milho, couve e feijão)</t>
  </si>
  <si>
    <t>Reinterpretação do prato nacional com leguminosas corta 70% de impacto ambiental.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</si>
</sst>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17</v>
      </c>
      <c r="B2" s="3" t="s">
        <v>18</v>
      </c>
      <c r="C2" s="3" t="s">
        <v>19</v>
      </c>
      <c r="D2" s="3" t="s">
        <v>20</v>
      </c>
      <c r="E2" s="5">
        <v>72.0</v>
      </c>
      <c r="F2" s="3" t="s">
        <v>21</v>
      </c>
      <c r="G2" s="5">
        <v>80.0</v>
      </c>
      <c r="H2" s="5">
        <v>900.0</v>
      </c>
      <c r="I2" s="5">
        <v>68.0</v>
      </c>
      <c r="J2" s="3" t="s">
        <v>22</v>
      </c>
      <c r="K2" s="5">
        <v>60.0</v>
      </c>
      <c r="L2" s="3" t="s">
        <v>23</v>
      </c>
      <c r="M2" s="5">
        <f>+38</f>
        <v>38</v>
      </c>
      <c r="N2" s="5">
        <v>-55.0</v>
      </c>
      <c r="O2" s="5">
        <f>+25</f>
        <v>25</v>
      </c>
      <c r="P2" s="3" t="s">
        <v>24</v>
      </c>
      <c r="Q2" s="3" t="s">
        <v>25</v>
      </c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17</v>
      </c>
      <c r="B3" s="3" t="s">
        <v>26</v>
      </c>
      <c r="C3" s="3" t="s">
        <v>27</v>
      </c>
      <c r="D3" s="3" t="s">
        <v>28</v>
      </c>
      <c r="E3" s="5">
        <v>78.0</v>
      </c>
      <c r="F3" s="3" t="s">
        <v>29</v>
      </c>
      <c r="G3" s="5">
        <v>85.0</v>
      </c>
      <c r="H3" s="5">
        <v>1000.0</v>
      </c>
      <c r="I3" s="5">
        <v>73.0</v>
      </c>
      <c r="J3" s="3" t="s">
        <v>30</v>
      </c>
      <c r="K3" s="5">
        <v>65.0</v>
      </c>
      <c r="L3" s="3" t="s">
        <v>31</v>
      </c>
      <c r="M3" s="5">
        <f>+42</f>
        <v>42</v>
      </c>
      <c r="N3" s="5">
        <v>-60.0</v>
      </c>
      <c r="O3" s="5">
        <f>+28</f>
        <v>28</v>
      </c>
      <c r="P3" s="3" t="s">
        <v>32</v>
      </c>
      <c r="Q3" s="3" t="s">
        <v>33</v>
      </c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17</v>
      </c>
      <c r="B4" s="3" t="s">
        <v>34</v>
      </c>
      <c r="C4" s="3" t="s">
        <v>35</v>
      </c>
      <c r="D4" s="3" t="s">
        <v>36</v>
      </c>
      <c r="E4" s="5">
        <v>75.0</v>
      </c>
      <c r="F4" s="3" t="s">
        <v>37</v>
      </c>
      <c r="G4" s="5">
        <v>82.0</v>
      </c>
      <c r="H4" s="5">
        <v>700.0</v>
      </c>
      <c r="I4" s="5">
        <v>70.0</v>
      </c>
      <c r="J4" s="3" t="s">
        <v>38</v>
      </c>
      <c r="K4" s="5">
        <v>62.0</v>
      </c>
      <c r="L4" s="3" t="s">
        <v>39</v>
      </c>
      <c r="M4" s="5">
        <f>+36</f>
        <v>36</v>
      </c>
      <c r="N4" s="5">
        <v>-57.0</v>
      </c>
      <c r="O4" s="5">
        <f>+26</f>
        <v>26</v>
      </c>
      <c r="P4" s="3" t="s">
        <v>40</v>
      </c>
      <c r="Q4" s="3" t="s">
        <v>41</v>
      </c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42</v>
      </c>
      <c r="B5" s="3" t="s">
        <v>43</v>
      </c>
      <c r="C5" s="3" t="s">
        <v>44</v>
      </c>
      <c r="D5" s="3" t="s">
        <v>45</v>
      </c>
      <c r="E5" s="5">
        <v>83.0</v>
      </c>
      <c r="F5" s="3" t="s">
        <v>46</v>
      </c>
      <c r="G5" s="5">
        <v>88.0</v>
      </c>
      <c r="H5" s="5">
        <v>1200.0</v>
      </c>
      <c r="I5" s="5">
        <v>76.0</v>
      </c>
      <c r="J5" s="3" t="s">
        <v>47</v>
      </c>
      <c r="K5" s="5">
        <v>69.0</v>
      </c>
      <c r="L5" s="3" t="s">
        <v>48</v>
      </c>
      <c r="M5" s="5">
        <f>+40</f>
        <v>40</v>
      </c>
      <c r="N5" s="5">
        <v>-63.0</v>
      </c>
      <c r="O5" s="5">
        <f>+30</f>
        <v>30</v>
      </c>
      <c r="P5" s="3" t="s">
        <v>49</v>
      </c>
      <c r="Q5" s="3" t="s">
        <v>50</v>
      </c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51</v>
      </c>
      <c r="B6" s="3" t="s">
        <v>52</v>
      </c>
      <c r="C6" s="3" t="s">
        <v>53</v>
      </c>
      <c r="D6" s="3" t="s">
        <v>54</v>
      </c>
      <c r="E6" s="5">
        <v>77.0</v>
      </c>
      <c r="F6" s="3" t="s">
        <v>22</v>
      </c>
      <c r="G6" s="5">
        <v>83.0</v>
      </c>
      <c r="H6" s="5">
        <v>600.0</v>
      </c>
      <c r="I6" s="5">
        <v>70.0</v>
      </c>
      <c r="J6" s="3" t="s">
        <v>55</v>
      </c>
      <c r="K6" s="5">
        <v>64.0</v>
      </c>
      <c r="L6" s="3" t="s">
        <v>56</v>
      </c>
      <c r="M6" s="5">
        <f>+39</f>
        <v>39</v>
      </c>
      <c r="N6" s="5">
        <v>-59.0</v>
      </c>
      <c r="O6" s="5">
        <f>+27</f>
        <v>27</v>
      </c>
      <c r="P6" s="3" t="s">
        <v>57</v>
      </c>
      <c r="Q6" s="3" t="s">
        <v>58</v>
      </c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59</v>
      </c>
      <c r="B7" s="3" t="s">
        <v>60</v>
      </c>
      <c r="C7" s="3" t="s">
        <v>61</v>
      </c>
      <c r="D7" s="3" t="s">
        <v>62</v>
      </c>
      <c r="E7" s="5">
        <v>71.0</v>
      </c>
      <c r="F7" s="3" t="s">
        <v>63</v>
      </c>
      <c r="G7" s="5">
        <v>78.0</v>
      </c>
      <c r="H7" s="5">
        <v>550.0</v>
      </c>
      <c r="I7" s="5">
        <v>65.0</v>
      </c>
      <c r="J7" s="3" t="s">
        <v>64</v>
      </c>
      <c r="K7" s="5">
        <v>58.0</v>
      </c>
      <c r="L7" s="3" t="s">
        <v>65</v>
      </c>
      <c r="M7" s="5">
        <f>+35</f>
        <v>35</v>
      </c>
      <c r="N7" s="5">
        <v>-52.0</v>
      </c>
      <c r="O7" s="5">
        <f>+22</f>
        <v>22</v>
      </c>
      <c r="P7" s="3" t="s">
        <v>66</v>
      </c>
      <c r="Q7" s="3" t="s">
        <v>50</v>
      </c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67</v>
      </c>
      <c r="B8" s="3" t="s">
        <v>68</v>
      </c>
      <c r="C8" s="3" t="s">
        <v>69</v>
      </c>
      <c r="D8" s="3" t="s">
        <v>70</v>
      </c>
      <c r="E8" s="5">
        <v>69.0</v>
      </c>
      <c r="F8" s="3" t="s">
        <v>71</v>
      </c>
      <c r="G8" s="5">
        <v>76.0</v>
      </c>
      <c r="H8" s="5">
        <v>400.0</v>
      </c>
      <c r="I8" s="5">
        <v>62.0</v>
      </c>
      <c r="J8" s="3" t="s">
        <v>72</v>
      </c>
      <c r="K8" s="5">
        <v>55.0</v>
      </c>
      <c r="L8" s="3" t="s">
        <v>73</v>
      </c>
      <c r="M8" s="5">
        <f>+33</f>
        <v>33</v>
      </c>
      <c r="N8" s="5">
        <v>-50.0</v>
      </c>
      <c r="O8" s="5">
        <f>+20</f>
        <v>20</v>
      </c>
      <c r="P8" s="3" t="s">
        <v>74</v>
      </c>
      <c r="Q8" s="3" t="s">
        <v>50</v>
      </c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75</v>
      </c>
      <c r="B9" s="3" t="s">
        <v>76</v>
      </c>
      <c r="C9" s="3" t="s">
        <v>77</v>
      </c>
      <c r="D9" s="3" t="s">
        <v>78</v>
      </c>
      <c r="E9" s="5">
        <v>76.0</v>
      </c>
      <c r="F9" s="3" t="s">
        <v>47</v>
      </c>
      <c r="G9" s="5">
        <v>82.0</v>
      </c>
      <c r="H9" s="5">
        <v>700.0</v>
      </c>
      <c r="I9" s="5">
        <v>69.0</v>
      </c>
      <c r="J9" s="3" t="s">
        <v>79</v>
      </c>
      <c r="K9" s="5">
        <v>61.0</v>
      </c>
      <c r="L9" s="3" t="s">
        <v>80</v>
      </c>
      <c r="M9" s="5">
        <f>+37</f>
        <v>37</v>
      </c>
      <c r="N9" s="5">
        <v>-56.0</v>
      </c>
      <c r="O9" s="5">
        <f>+25</f>
        <v>25</v>
      </c>
      <c r="P9" s="3" t="s">
        <v>81</v>
      </c>
      <c r="Q9" s="3" t="s">
        <v>58</v>
      </c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82</v>
      </c>
      <c r="B10" s="3" t="s">
        <v>83</v>
      </c>
      <c r="C10" s="3" t="s">
        <v>84</v>
      </c>
      <c r="D10" s="3" t="s">
        <v>85</v>
      </c>
      <c r="E10" s="5">
        <v>74.0</v>
      </c>
      <c r="F10" s="3" t="s">
        <v>29</v>
      </c>
      <c r="G10" s="5">
        <v>81.0</v>
      </c>
      <c r="H10" s="5">
        <v>800.0</v>
      </c>
      <c r="I10" s="5">
        <v>67.0</v>
      </c>
      <c r="J10" s="3" t="s">
        <v>30</v>
      </c>
      <c r="K10" s="5">
        <v>60.0</v>
      </c>
      <c r="L10" s="3" t="s">
        <v>86</v>
      </c>
      <c r="M10" s="5">
        <f>+34</f>
        <v>34</v>
      </c>
      <c r="N10" s="5">
        <v>-54.0</v>
      </c>
      <c r="O10" s="5">
        <f>+23</f>
        <v>23</v>
      </c>
      <c r="P10" s="3" t="s">
        <v>87</v>
      </c>
      <c r="Q10" s="3" t="s">
        <v>50</v>
      </c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88</v>
      </c>
      <c r="B11" s="3" t="s">
        <v>89</v>
      </c>
      <c r="C11" s="3" t="s">
        <v>90</v>
      </c>
      <c r="D11" s="3" t="s">
        <v>91</v>
      </c>
      <c r="E11" s="5">
        <v>85.0</v>
      </c>
      <c r="F11" s="3" t="s">
        <v>21</v>
      </c>
      <c r="G11" s="5">
        <v>90.0</v>
      </c>
      <c r="H11" s="5">
        <v>1200.0</v>
      </c>
      <c r="I11" s="5">
        <v>78.0</v>
      </c>
      <c r="J11" s="3" t="s">
        <v>37</v>
      </c>
      <c r="K11" s="5">
        <v>70.0</v>
      </c>
      <c r="L11" s="3" t="s">
        <v>92</v>
      </c>
      <c r="M11" s="5">
        <f>+45</f>
        <v>45</v>
      </c>
      <c r="N11" s="5">
        <v>-65.0</v>
      </c>
      <c r="O11" s="5">
        <f>+30</f>
        <v>30</v>
      </c>
      <c r="P11" s="3" t="s">
        <v>93</v>
      </c>
      <c r="Q11" s="3" t="s">
        <v>94</v>
      </c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95</v>
      </c>
      <c r="B12" s="3" t="s">
        <v>96</v>
      </c>
      <c r="C12" s="3" t="s">
        <v>97</v>
      </c>
      <c r="D12" s="3" t="s">
        <v>98</v>
      </c>
      <c r="E12" s="5">
        <v>73.0</v>
      </c>
      <c r="F12" s="3" t="s">
        <v>99</v>
      </c>
      <c r="G12" s="5">
        <v>80.0</v>
      </c>
      <c r="H12" s="5">
        <v>650.0</v>
      </c>
      <c r="I12" s="5">
        <v>66.0</v>
      </c>
      <c r="J12" s="3" t="s">
        <v>63</v>
      </c>
      <c r="K12" s="5">
        <v>59.0</v>
      </c>
      <c r="L12" s="3" t="s">
        <v>100</v>
      </c>
      <c r="M12" s="5">
        <f>+32</f>
        <v>32</v>
      </c>
      <c r="N12" s="5">
        <v>-53.0</v>
      </c>
      <c r="O12" s="5">
        <f>+22</f>
        <v>22</v>
      </c>
      <c r="P12" s="3" t="s">
        <v>101</v>
      </c>
      <c r="Q12" s="3" t="s">
        <v>102</v>
      </c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103</v>
      </c>
      <c r="B13" s="3" t="s">
        <v>104</v>
      </c>
      <c r="C13" s="3" t="s">
        <v>105</v>
      </c>
      <c r="D13" s="3" t="s">
        <v>106</v>
      </c>
      <c r="E13" s="5">
        <v>79.0</v>
      </c>
      <c r="F13" s="3" t="s">
        <v>107</v>
      </c>
      <c r="G13" s="5">
        <v>86.0</v>
      </c>
      <c r="H13" s="5">
        <v>900.0</v>
      </c>
      <c r="I13" s="5">
        <v>72.0</v>
      </c>
      <c r="J13" s="3" t="s">
        <v>22</v>
      </c>
      <c r="K13" s="5">
        <v>64.0</v>
      </c>
      <c r="L13" s="3" t="s">
        <v>108</v>
      </c>
      <c r="M13" s="5">
        <f>+41</f>
        <v>41</v>
      </c>
      <c r="N13" s="5">
        <v>-60.0</v>
      </c>
      <c r="O13" s="5">
        <f>+27</f>
        <v>27</v>
      </c>
      <c r="P13" s="3" t="s">
        <v>109</v>
      </c>
      <c r="Q13" s="3" t="s">
        <v>50</v>
      </c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110</v>
      </c>
      <c r="B14" s="3" t="s">
        <v>111</v>
      </c>
      <c r="C14" s="3" t="s">
        <v>112</v>
      </c>
      <c r="D14" s="3" t="s">
        <v>113</v>
      </c>
      <c r="E14" s="5">
        <v>82.0</v>
      </c>
      <c r="F14" s="3" t="s">
        <v>114</v>
      </c>
      <c r="G14" s="5">
        <v>87.0</v>
      </c>
      <c r="H14" s="5">
        <v>950.0</v>
      </c>
      <c r="I14" s="5">
        <v>75.0</v>
      </c>
      <c r="J14" s="3" t="s">
        <v>99</v>
      </c>
      <c r="K14" s="5">
        <v>67.0</v>
      </c>
      <c r="L14" s="3" t="s">
        <v>115</v>
      </c>
      <c r="M14" s="5">
        <f>+35</f>
        <v>35</v>
      </c>
      <c r="N14" s="5">
        <v>-61.0</v>
      </c>
      <c r="O14" s="5">
        <f>+26</f>
        <v>26</v>
      </c>
      <c r="P14" s="3" t="s">
        <v>116</v>
      </c>
      <c r="Q14" s="3" t="s">
        <v>102</v>
      </c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117</v>
      </c>
      <c r="B15" s="3" t="s">
        <v>118</v>
      </c>
      <c r="C15" s="3" t="s">
        <v>119</v>
      </c>
      <c r="D15" s="3" t="s">
        <v>120</v>
      </c>
      <c r="E15" s="5">
        <v>76.0</v>
      </c>
      <c r="F15" s="3" t="s">
        <v>47</v>
      </c>
      <c r="G15" s="5">
        <v>82.0</v>
      </c>
      <c r="H15" s="5">
        <v>700.0</v>
      </c>
      <c r="I15" s="5">
        <v>69.0</v>
      </c>
      <c r="J15" s="3" t="s">
        <v>38</v>
      </c>
      <c r="K15" s="5">
        <v>61.0</v>
      </c>
      <c r="L15" s="3" t="s">
        <v>121</v>
      </c>
      <c r="M15" s="5">
        <f>+36</f>
        <v>36</v>
      </c>
      <c r="N15" s="5">
        <v>-56.0</v>
      </c>
      <c r="O15" s="5">
        <f>+24</f>
        <v>24</v>
      </c>
      <c r="P15" s="3" t="s">
        <v>122</v>
      </c>
      <c r="Q15" s="3" t="s">
        <v>58</v>
      </c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123</v>
      </c>
      <c r="B16" s="3" t="s">
        <v>124</v>
      </c>
      <c r="C16" s="3" t="s">
        <v>125</v>
      </c>
      <c r="D16" s="3" t="s">
        <v>126</v>
      </c>
      <c r="E16" s="5">
        <v>66.0</v>
      </c>
      <c r="F16" s="3" t="s">
        <v>64</v>
      </c>
      <c r="G16" s="5">
        <v>74.0</v>
      </c>
      <c r="H16" s="5">
        <v>420.0</v>
      </c>
      <c r="I16" s="5">
        <v>58.0</v>
      </c>
      <c r="J16" s="3" t="s">
        <v>127</v>
      </c>
      <c r="K16" s="5">
        <v>55.0</v>
      </c>
      <c r="L16" s="3" t="s">
        <v>128</v>
      </c>
      <c r="M16" s="5">
        <f>+35</f>
        <v>35</v>
      </c>
      <c r="N16" s="5">
        <v>-50.0</v>
      </c>
      <c r="O16" s="5">
        <f>+20</f>
        <v>20</v>
      </c>
      <c r="P16" s="3" t="s">
        <v>129</v>
      </c>
      <c r="Q16" s="3" t="s">
        <v>33</v>
      </c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130</v>
      </c>
      <c r="B17" s="3" t="s">
        <v>131</v>
      </c>
      <c r="C17" s="3" t="s">
        <v>132</v>
      </c>
      <c r="D17" s="3" t="s">
        <v>133</v>
      </c>
      <c r="E17" s="5">
        <v>74.0</v>
      </c>
      <c r="F17" s="3" t="s">
        <v>79</v>
      </c>
      <c r="G17" s="5">
        <v>81.0</v>
      </c>
      <c r="H17" s="5">
        <v>700.0</v>
      </c>
      <c r="I17" s="5">
        <v>66.0</v>
      </c>
      <c r="J17" s="3" t="s">
        <v>63</v>
      </c>
      <c r="K17" s="5">
        <v>59.0</v>
      </c>
      <c r="L17" s="3" t="s">
        <v>134</v>
      </c>
      <c r="M17" s="5">
        <f>+36</f>
        <v>36</v>
      </c>
      <c r="N17" s="5">
        <v>-54.0</v>
      </c>
      <c r="O17" s="5">
        <f>+24</f>
        <v>24</v>
      </c>
      <c r="P17" s="3" t="s">
        <v>135</v>
      </c>
      <c r="Q17" s="3" t="s">
        <v>50</v>
      </c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136</v>
      </c>
      <c r="B18" s="3" t="s">
        <v>137</v>
      </c>
      <c r="C18" s="3" t="s">
        <v>138</v>
      </c>
      <c r="D18" s="3" t="s">
        <v>139</v>
      </c>
      <c r="E18" s="5">
        <v>77.0</v>
      </c>
      <c r="F18" s="3" t="s">
        <v>140</v>
      </c>
      <c r="G18" s="5">
        <v>84.0</v>
      </c>
      <c r="H18" s="5">
        <v>850.0</v>
      </c>
      <c r="I18" s="5">
        <v>70.0</v>
      </c>
      <c r="J18" s="3" t="s">
        <v>30</v>
      </c>
      <c r="K18" s="5">
        <v>62.0</v>
      </c>
      <c r="L18" s="3" t="s">
        <v>141</v>
      </c>
      <c r="M18" s="5">
        <f>+38</f>
        <v>38</v>
      </c>
      <c r="N18" s="5">
        <v>-57.0</v>
      </c>
      <c r="O18" s="5">
        <f>+26</f>
        <v>26</v>
      </c>
      <c r="P18" s="3" t="s">
        <v>142</v>
      </c>
      <c r="Q18" s="3" t="s">
        <v>58</v>
      </c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143</v>
      </c>
      <c r="B19" s="3" t="s">
        <v>144</v>
      </c>
      <c r="C19" s="3" t="s">
        <v>145</v>
      </c>
      <c r="D19" s="3" t="s">
        <v>146</v>
      </c>
      <c r="E19" s="5">
        <v>69.0</v>
      </c>
      <c r="F19" s="3" t="s">
        <v>55</v>
      </c>
      <c r="G19" s="5">
        <v>76.0</v>
      </c>
      <c r="H19" s="5">
        <v>480.0</v>
      </c>
      <c r="I19" s="5">
        <v>61.0</v>
      </c>
      <c r="J19" s="3" t="s">
        <v>64</v>
      </c>
      <c r="K19" s="5">
        <v>56.0</v>
      </c>
      <c r="L19" s="3" t="s">
        <v>147</v>
      </c>
      <c r="M19" s="5">
        <f>+33</f>
        <v>33</v>
      </c>
      <c r="N19" s="5">
        <v>-52.0</v>
      </c>
      <c r="O19" s="5">
        <f>+22</f>
        <v>22</v>
      </c>
      <c r="P19" s="3" t="s">
        <v>148</v>
      </c>
      <c r="Q19" s="3" t="s">
        <v>50</v>
      </c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 t="s">
        <v>149</v>
      </c>
      <c r="B20" s="3" t="s">
        <v>150</v>
      </c>
      <c r="C20" s="3" t="s">
        <v>151</v>
      </c>
      <c r="D20" s="3" t="s">
        <v>152</v>
      </c>
      <c r="E20" s="5">
        <v>62.0</v>
      </c>
      <c r="F20" s="3" t="s">
        <v>127</v>
      </c>
      <c r="G20" s="5">
        <v>70.0</v>
      </c>
      <c r="H20" s="5">
        <v>350.0</v>
      </c>
      <c r="I20" s="5">
        <v>56.0</v>
      </c>
      <c r="J20" s="3" t="s">
        <v>72</v>
      </c>
      <c r="K20" s="5">
        <v>52.0</v>
      </c>
      <c r="L20" s="3" t="s">
        <v>153</v>
      </c>
      <c r="M20" s="5">
        <f>+28</f>
        <v>28</v>
      </c>
      <c r="N20" s="5">
        <v>-48.0</v>
      </c>
      <c r="O20" s="5">
        <f>+18</f>
        <v>18</v>
      </c>
      <c r="P20" s="3" t="s">
        <v>154</v>
      </c>
      <c r="Q20" s="3" t="s">
        <v>155</v>
      </c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 t="s">
        <v>156</v>
      </c>
      <c r="B21" s="3" t="s">
        <v>157</v>
      </c>
      <c r="C21" s="3" t="s">
        <v>158</v>
      </c>
      <c r="D21" s="3" t="s">
        <v>159</v>
      </c>
      <c r="E21" s="5">
        <v>82.0</v>
      </c>
      <c r="F21" s="3" t="s">
        <v>160</v>
      </c>
      <c r="G21" s="5">
        <v>88.0</v>
      </c>
      <c r="H21" s="4">
        <v>1050.0</v>
      </c>
      <c r="I21" s="5">
        <v>75.0</v>
      </c>
      <c r="J21" s="3" t="s">
        <v>47</v>
      </c>
      <c r="K21" s="5">
        <v>67.0</v>
      </c>
      <c r="L21" s="3" t="s">
        <v>161</v>
      </c>
      <c r="M21" s="5">
        <f>+34</f>
        <v>34</v>
      </c>
      <c r="N21" s="5">
        <v>-61.0</v>
      </c>
      <c r="O21" s="5">
        <f>+26</f>
        <v>26</v>
      </c>
      <c r="P21" s="3" t="s">
        <v>162</v>
      </c>
      <c r="Q21" s="3" t="s">
        <v>50</v>
      </c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 t="s">
        <v>163</v>
      </c>
      <c r="B22" s="3" t="s">
        <v>164</v>
      </c>
      <c r="C22" s="3" t="s">
        <v>165</v>
      </c>
      <c r="D22" s="3" t="s">
        <v>166</v>
      </c>
      <c r="E22" s="5">
        <v>71.0</v>
      </c>
      <c r="F22" s="3" t="s">
        <v>71</v>
      </c>
      <c r="G22" s="5">
        <v>79.0</v>
      </c>
      <c r="H22" s="5">
        <v>500.0</v>
      </c>
      <c r="I22" s="5">
        <v>64.0</v>
      </c>
      <c r="J22" s="3" t="s">
        <v>64</v>
      </c>
      <c r="K22" s="5">
        <v>58.0</v>
      </c>
      <c r="L22" s="3" t="s">
        <v>167</v>
      </c>
      <c r="M22" s="5">
        <f>+32</f>
        <v>32</v>
      </c>
      <c r="N22" s="5">
        <v>-51.0</v>
      </c>
      <c r="O22" s="5">
        <f>+21</f>
        <v>21</v>
      </c>
      <c r="P22" s="3" t="s">
        <v>168</v>
      </c>
      <c r="Q22" s="3" t="s">
        <v>58</v>
      </c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169</v>
      </c>
      <c r="B23" s="3" t="s">
        <v>170</v>
      </c>
      <c r="C23" s="3" t="s">
        <v>171</v>
      </c>
      <c r="D23" s="3" t="s">
        <v>172</v>
      </c>
      <c r="E23" s="5">
        <v>73.0</v>
      </c>
      <c r="F23" s="3" t="s">
        <v>38</v>
      </c>
      <c r="G23" s="5">
        <v>80.0</v>
      </c>
      <c r="H23" s="5">
        <v>600.0</v>
      </c>
      <c r="I23" s="5">
        <v>66.0</v>
      </c>
      <c r="J23" s="3" t="s">
        <v>55</v>
      </c>
      <c r="K23" s="5">
        <v>59.0</v>
      </c>
      <c r="L23" s="3" t="s">
        <v>173</v>
      </c>
      <c r="M23" s="5">
        <f>+36</f>
        <v>36</v>
      </c>
      <c r="N23" s="5">
        <v>-53.0</v>
      </c>
      <c r="O23" s="5">
        <f>+23</f>
        <v>23</v>
      </c>
      <c r="P23" s="3" t="s">
        <v>174</v>
      </c>
      <c r="Q23" s="3" t="s">
        <v>102</v>
      </c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 t="s">
        <v>175</v>
      </c>
      <c r="B24" s="3" t="s">
        <v>176</v>
      </c>
      <c r="C24" s="3" t="s">
        <v>177</v>
      </c>
      <c r="D24" s="3" t="s">
        <v>178</v>
      </c>
      <c r="E24" s="5">
        <v>70.0</v>
      </c>
      <c r="F24" s="3" t="s">
        <v>63</v>
      </c>
      <c r="G24" s="5">
        <v>78.0</v>
      </c>
      <c r="H24" s="5">
        <v>520.0</v>
      </c>
      <c r="I24" s="5">
        <v>62.0</v>
      </c>
      <c r="J24" s="3" t="s">
        <v>64</v>
      </c>
      <c r="K24" s="5">
        <v>56.0</v>
      </c>
      <c r="L24" s="3" t="s">
        <v>179</v>
      </c>
      <c r="M24" s="5">
        <f>+30</f>
        <v>30</v>
      </c>
      <c r="N24" s="5">
        <v>-52.0</v>
      </c>
      <c r="O24" s="5">
        <f>+21</f>
        <v>21</v>
      </c>
      <c r="P24" s="3" t="s">
        <v>180</v>
      </c>
      <c r="Q24" s="3" t="s">
        <v>50</v>
      </c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 t="s">
        <v>181</v>
      </c>
      <c r="B25" s="3" t="s">
        <v>182</v>
      </c>
      <c r="C25" s="3" t="s">
        <v>183</v>
      </c>
      <c r="D25" s="3" t="s">
        <v>184</v>
      </c>
      <c r="E25" s="5">
        <v>72.0</v>
      </c>
      <c r="F25" s="3" t="s">
        <v>63</v>
      </c>
      <c r="G25" s="5">
        <v>80.0</v>
      </c>
      <c r="H25" s="5">
        <v>560.0</v>
      </c>
      <c r="I25" s="5">
        <v>64.0</v>
      </c>
      <c r="J25" s="3" t="s">
        <v>71</v>
      </c>
      <c r="K25" s="5">
        <v>57.0</v>
      </c>
      <c r="L25" s="3" t="s">
        <v>167</v>
      </c>
      <c r="M25" s="5">
        <f>+34</f>
        <v>34</v>
      </c>
      <c r="N25" s="5">
        <v>-54.0</v>
      </c>
      <c r="O25" s="5">
        <f>+22</f>
        <v>22</v>
      </c>
      <c r="P25" s="3" t="s">
        <v>185</v>
      </c>
      <c r="Q25" s="3" t="s">
        <v>102</v>
      </c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186</v>
      </c>
      <c r="B26" s="3" t="s">
        <v>187</v>
      </c>
      <c r="C26" s="3" t="s">
        <v>188</v>
      </c>
      <c r="D26" s="3" t="s">
        <v>189</v>
      </c>
      <c r="E26" s="5">
        <v>68.0</v>
      </c>
      <c r="F26" s="3" t="s">
        <v>71</v>
      </c>
      <c r="G26" s="5">
        <v>76.0</v>
      </c>
      <c r="H26" s="5">
        <v>480.0</v>
      </c>
      <c r="I26" s="5">
        <v>60.0</v>
      </c>
      <c r="J26" s="3" t="s">
        <v>127</v>
      </c>
      <c r="K26" s="5">
        <v>55.0</v>
      </c>
      <c r="L26" s="3" t="s">
        <v>190</v>
      </c>
      <c r="M26" s="5">
        <f>+32</f>
        <v>32</v>
      </c>
      <c r="N26" s="5">
        <v>-50.0</v>
      </c>
      <c r="O26" s="5">
        <f>+20</f>
        <v>20</v>
      </c>
      <c r="P26" s="3" t="s">
        <v>191</v>
      </c>
      <c r="Q26" s="3" t="s">
        <v>50</v>
      </c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 t="s">
        <v>192</v>
      </c>
      <c r="B27" s="3" t="s">
        <v>193</v>
      </c>
      <c r="C27" s="3" t="s">
        <v>194</v>
      </c>
      <c r="D27" s="3" t="s">
        <v>195</v>
      </c>
      <c r="E27" s="5">
        <v>78.0</v>
      </c>
      <c r="F27" s="3" t="s">
        <v>29</v>
      </c>
      <c r="G27" s="5">
        <v>85.0</v>
      </c>
      <c r="H27" s="4">
        <v>1000.0</v>
      </c>
      <c r="I27" s="5">
        <v>73.0</v>
      </c>
      <c r="J27" s="3" t="s">
        <v>99</v>
      </c>
      <c r="K27" s="5">
        <v>65.0</v>
      </c>
      <c r="L27" s="3" t="s">
        <v>196</v>
      </c>
      <c r="M27" s="5">
        <f>+45</f>
        <v>45</v>
      </c>
      <c r="N27" s="5">
        <v>-60.0</v>
      </c>
      <c r="O27" s="5">
        <f>+28</f>
        <v>28</v>
      </c>
      <c r="P27" s="3" t="s">
        <v>197</v>
      </c>
      <c r="Q27" s="3" t="s">
        <v>33</v>
      </c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 t="s">
        <v>198</v>
      </c>
      <c r="B28" s="3" t="s">
        <v>199</v>
      </c>
      <c r="C28" s="3" t="s">
        <v>200</v>
      </c>
      <c r="D28" s="3" t="s">
        <v>201</v>
      </c>
      <c r="E28" s="5">
        <v>67.0</v>
      </c>
      <c r="F28" s="3" t="s">
        <v>64</v>
      </c>
      <c r="G28" s="5">
        <v>75.0</v>
      </c>
      <c r="H28" s="5">
        <v>450.0</v>
      </c>
      <c r="I28" s="5">
        <v>59.0</v>
      </c>
      <c r="J28" s="3" t="s">
        <v>127</v>
      </c>
      <c r="K28" s="5">
        <v>54.0</v>
      </c>
      <c r="L28" s="3" t="s">
        <v>128</v>
      </c>
      <c r="M28" s="5">
        <f>+29</f>
        <v>29</v>
      </c>
      <c r="N28" s="5">
        <v>-49.0</v>
      </c>
      <c r="O28" s="5">
        <f>+18</f>
        <v>18</v>
      </c>
      <c r="P28" s="3" t="s">
        <v>202</v>
      </c>
      <c r="Q28" s="3" t="s">
        <v>102</v>
      </c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 t="s">
        <v>203</v>
      </c>
      <c r="B29" s="3" t="s">
        <v>204</v>
      </c>
      <c r="C29" s="3" t="s">
        <v>205</v>
      </c>
      <c r="D29" s="3" t="s">
        <v>206</v>
      </c>
      <c r="E29" s="5">
        <v>65.0</v>
      </c>
      <c r="F29" s="3" t="s">
        <v>64</v>
      </c>
      <c r="G29" s="5">
        <v>73.0</v>
      </c>
      <c r="H29" s="5">
        <v>420.0</v>
      </c>
      <c r="I29" s="5">
        <v>58.0</v>
      </c>
      <c r="J29" s="3" t="s">
        <v>127</v>
      </c>
      <c r="K29" s="5">
        <v>53.0</v>
      </c>
      <c r="L29" s="3" t="s">
        <v>207</v>
      </c>
      <c r="M29" s="5">
        <f>+30</f>
        <v>30</v>
      </c>
      <c r="N29" s="5">
        <v>-51.0</v>
      </c>
      <c r="O29" s="5">
        <f>+19</f>
        <v>19</v>
      </c>
      <c r="P29" s="3" t="s">
        <v>208</v>
      </c>
      <c r="Q29" s="3" t="s">
        <v>102</v>
      </c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 t="s">
        <v>209</v>
      </c>
      <c r="B30" s="3" t="s">
        <v>210</v>
      </c>
      <c r="C30" s="3" t="s">
        <v>211</v>
      </c>
      <c r="D30" s="3" t="s">
        <v>212</v>
      </c>
      <c r="E30" s="5">
        <v>72.0</v>
      </c>
      <c r="F30" s="3" t="s">
        <v>38</v>
      </c>
      <c r="G30" s="5">
        <v>80.0</v>
      </c>
      <c r="H30" s="5">
        <v>600.0</v>
      </c>
      <c r="I30" s="5">
        <v>65.0</v>
      </c>
      <c r="J30" s="3" t="s">
        <v>55</v>
      </c>
      <c r="K30" s="5">
        <v>58.0</v>
      </c>
      <c r="L30" s="3" t="s">
        <v>213</v>
      </c>
      <c r="M30" s="5">
        <f>+35</f>
        <v>35</v>
      </c>
      <c r="N30" s="5">
        <v>-53.0</v>
      </c>
      <c r="O30" s="5">
        <f>+22</f>
        <v>22</v>
      </c>
      <c r="P30" s="3" t="s">
        <v>214</v>
      </c>
      <c r="Q30" s="3" t="s">
        <v>102</v>
      </c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215</v>
      </c>
      <c r="B31" s="3" t="s">
        <v>216</v>
      </c>
      <c r="C31" s="3" t="s">
        <v>217</v>
      </c>
      <c r="D31" s="3" t="s">
        <v>218</v>
      </c>
      <c r="E31" s="5">
        <v>69.0</v>
      </c>
      <c r="F31" s="3" t="s">
        <v>71</v>
      </c>
      <c r="G31" s="5">
        <v>77.0</v>
      </c>
      <c r="H31" s="5">
        <v>500.0</v>
      </c>
      <c r="I31" s="5">
        <v>61.0</v>
      </c>
      <c r="J31" s="3" t="s">
        <v>64</v>
      </c>
      <c r="K31" s="5">
        <v>55.0</v>
      </c>
      <c r="L31" s="3" t="s">
        <v>147</v>
      </c>
      <c r="M31" s="5">
        <f>+33</f>
        <v>33</v>
      </c>
      <c r="N31" s="5">
        <v>-50.0</v>
      </c>
      <c r="O31" s="5">
        <f>+21</f>
        <v>21</v>
      </c>
      <c r="P31" s="3" t="s">
        <v>219</v>
      </c>
      <c r="Q31" s="3" t="s">
        <v>50</v>
      </c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 t="s">
        <v>220</v>
      </c>
      <c r="B32" s="3" t="s">
        <v>221</v>
      </c>
      <c r="C32" s="3" t="s">
        <v>222</v>
      </c>
      <c r="D32" s="3" t="s">
        <v>223</v>
      </c>
      <c r="E32" s="5">
        <v>75.0</v>
      </c>
      <c r="F32" s="3" t="s">
        <v>47</v>
      </c>
      <c r="G32" s="5">
        <v>82.0</v>
      </c>
      <c r="H32" s="5">
        <v>700.0</v>
      </c>
      <c r="I32" s="5">
        <v>69.0</v>
      </c>
      <c r="J32" s="3" t="s">
        <v>79</v>
      </c>
      <c r="K32" s="5">
        <v>61.0</v>
      </c>
      <c r="L32" s="3" t="s">
        <v>167</v>
      </c>
      <c r="M32" s="5">
        <f>+37</f>
        <v>37</v>
      </c>
      <c r="N32" s="5">
        <v>-56.0</v>
      </c>
      <c r="O32" s="5">
        <f>+25</f>
        <v>25</v>
      </c>
      <c r="P32" s="3" t="s">
        <v>224</v>
      </c>
      <c r="Q32" s="3" t="s">
        <v>58</v>
      </c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 t="s">
        <v>225</v>
      </c>
      <c r="B33" s="3" t="s">
        <v>226</v>
      </c>
      <c r="C33" s="3" t="s">
        <v>227</v>
      </c>
      <c r="D33" s="3" t="s">
        <v>228</v>
      </c>
      <c r="E33" s="5">
        <v>68.0</v>
      </c>
      <c r="F33" s="3" t="s">
        <v>55</v>
      </c>
      <c r="G33" s="5">
        <v>76.0</v>
      </c>
      <c r="H33" s="5">
        <v>450.0</v>
      </c>
      <c r="I33" s="5">
        <v>60.0</v>
      </c>
      <c r="J33" s="3" t="s">
        <v>64</v>
      </c>
      <c r="K33" s="5">
        <v>55.0</v>
      </c>
      <c r="L33" s="3" t="s">
        <v>190</v>
      </c>
      <c r="M33" s="5">
        <f>+34</f>
        <v>34</v>
      </c>
      <c r="N33" s="5">
        <v>-50.0</v>
      </c>
      <c r="O33" s="5">
        <f>+21</f>
        <v>21</v>
      </c>
      <c r="P33" s="3" t="s">
        <v>229</v>
      </c>
      <c r="Q33" s="3" t="s">
        <v>50</v>
      </c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 t="s">
        <v>230</v>
      </c>
      <c r="B34" s="3" t="s">
        <v>231</v>
      </c>
      <c r="C34" s="3" t="s">
        <v>232</v>
      </c>
      <c r="D34" s="3" t="s">
        <v>233</v>
      </c>
      <c r="E34" s="5">
        <v>71.0</v>
      </c>
      <c r="F34" s="3" t="s">
        <v>38</v>
      </c>
      <c r="G34" s="5">
        <v>79.0</v>
      </c>
      <c r="H34" s="5">
        <v>600.0</v>
      </c>
      <c r="I34" s="5">
        <v>63.0</v>
      </c>
      <c r="J34" s="3" t="s">
        <v>71</v>
      </c>
      <c r="K34" s="5">
        <v>57.0</v>
      </c>
      <c r="L34" s="3" t="s">
        <v>234</v>
      </c>
      <c r="M34" s="5">
        <f>+36</f>
        <v>36</v>
      </c>
      <c r="N34" s="5">
        <v>-53.0</v>
      </c>
      <c r="O34" s="5">
        <f>+23</f>
        <v>23</v>
      </c>
      <c r="P34" s="3" t="s">
        <v>235</v>
      </c>
      <c r="Q34" s="3" t="s">
        <v>58</v>
      </c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 t="s">
        <v>236</v>
      </c>
      <c r="B35" s="3" t="s">
        <v>237</v>
      </c>
      <c r="C35" s="3" t="s">
        <v>238</v>
      </c>
      <c r="D35" s="3" t="s">
        <v>239</v>
      </c>
      <c r="E35" s="5">
        <v>81.0</v>
      </c>
      <c r="F35" s="3" t="s">
        <v>46</v>
      </c>
      <c r="G35" s="5">
        <v>87.0</v>
      </c>
      <c r="H35" s="5">
        <v>1000.0</v>
      </c>
      <c r="I35" s="5">
        <v>74.0</v>
      </c>
      <c r="J35" s="3" t="s">
        <v>99</v>
      </c>
      <c r="K35" s="5">
        <v>67.0</v>
      </c>
      <c r="L35" s="3" t="s">
        <v>141</v>
      </c>
      <c r="M35" s="5">
        <f>+40</f>
        <v>40</v>
      </c>
      <c r="N35" s="5">
        <v>-61.0</v>
      </c>
      <c r="O35" s="5">
        <f>+27</f>
        <v>27</v>
      </c>
      <c r="P35" s="3" t="s">
        <v>240</v>
      </c>
      <c r="Q35" s="3" t="s">
        <v>50</v>
      </c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 t="s">
        <v>241</v>
      </c>
      <c r="B36" s="3" t="s">
        <v>242</v>
      </c>
      <c r="C36" s="3" t="s">
        <v>243</v>
      </c>
      <c r="D36" s="3" t="s">
        <v>133</v>
      </c>
      <c r="E36" s="5">
        <v>76.0</v>
      </c>
      <c r="F36" s="3" t="s">
        <v>244</v>
      </c>
      <c r="G36" s="5">
        <v>82.0</v>
      </c>
      <c r="H36" s="5">
        <v>750.0</v>
      </c>
      <c r="I36" s="5">
        <v>68.0</v>
      </c>
      <c r="J36" s="3" t="s">
        <v>38</v>
      </c>
      <c r="K36" s="5">
        <v>61.0</v>
      </c>
      <c r="L36" s="3" t="s">
        <v>245</v>
      </c>
      <c r="M36" s="5">
        <f>+36</f>
        <v>36</v>
      </c>
      <c r="N36" s="5">
        <v>-56.0</v>
      </c>
      <c r="O36" s="5">
        <f>+24</f>
        <v>24</v>
      </c>
      <c r="P36" s="3" t="s">
        <v>246</v>
      </c>
      <c r="Q36" s="3" t="s">
        <v>102</v>
      </c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 t="s">
        <v>247</v>
      </c>
      <c r="B37" s="3" t="s">
        <v>248</v>
      </c>
      <c r="C37" s="3" t="s">
        <v>249</v>
      </c>
      <c r="D37" s="3" t="s">
        <v>250</v>
      </c>
      <c r="E37" s="5">
        <v>80.0</v>
      </c>
      <c r="F37" s="3" t="s">
        <v>160</v>
      </c>
      <c r="G37" s="5">
        <v>85.0</v>
      </c>
      <c r="H37" s="5">
        <v>950.0</v>
      </c>
      <c r="I37" s="5">
        <v>72.0</v>
      </c>
      <c r="J37" s="3" t="s">
        <v>22</v>
      </c>
      <c r="K37" s="5">
        <v>65.0</v>
      </c>
      <c r="L37" s="3" t="s">
        <v>161</v>
      </c>
      <c r="M37" s="5">
        <f>+38</f>
        <v>38</v>
      </c>
      <c r="N37" s="5">
        <v>-60.0</v>
      </c>
      <c r="O37" s="5">
        <f>+26</f>
        <v>26</v>
      </c>
      <c r="P37" s="3" t="s">
        <v>251</v>
      </c>
      <c r="Q37" s="3" t="s">
        <v>50</v>
      </c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252</v>
      </c>
      <c r="B38" s="3" t="s">
        <v>253</v>
      </c>
      <c r="C38" s="3" t="s">
        <v>254</v>
      </c>
      <c r="D38" s="3" t="s">
        <v>255</v>
      </c>
      <c r="E38" s="5">
        <v>70.0</v>
      </c>
      <c r="F38" s="3" t="s">
        <v>55</v>
      </c>
      <c r="G38" s="5">
        <v>78.0</v>
      </c>
      <c r="H38" s="5">
        <v>520.0</v>
      </c>
      <c r="I38" s="5">
        <v>62.0</v>
      </c>
      <c r="J38" s="3" t="s">
        <v>64</v>
      </c>
      <c r="K38" s="5">
        <v>55.0</v>
      </c>
      <c r="L38" s="3" t="s">
        <v>128</v>
      </c>
      <c r="M38" s="5">
        <f>+32</f>
        <v>32</v>
      </c>
      <c r="N38" s="5">
        <v>-51.0</v>
      </c>
      <c r="O38" s="5">
        <f>+21</f>
        <v>21</v>
      </c>
      <c r="P38" s="3" t="s">
        <v>256</v>
      </c>
      <c r="Q38" s="3" t="s">
        <v>102</v>
      </c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 t="s">
        <v>257</v>
      </c>
      <c r="B39" s="3" t="s">
        <v>258</v>
      </c>
      <c r="C39" s="3" t="s">
        <v>259</v>
      </c>
      <c r="D39" s="3" t="s">
        <v>260</v>
      </c>
      <c r="E39" s="5">
        <v>79.0</v>
      </c>
      <c r="F39" s="3" t="s">
        <v>140</v>
      </c>
      <c r="G39" s="5">
        <v>85.0</v>
      </c>
      <c r="H39" s="5">
        <v>880.0</v>
      </c>
      <c r="I39" s="5">
        <v>71.0</v>
      </c>
      <c r="J39" s="3" t="s">
        <v>30</v>
      </c>
      <c r="K39" s="5">
        <v>64.0</v>
      </c>
      <c r="L39" s="3" t="s">
        <v>245</v>
      </c>
      <c r="M39" s="5">
        <f>+41</f>
        <v>41</v>
      </c>
      <c r="N39" s="5">
        <v>-59.0</v>
      </c>
      <c r="O39" s="5">
        <f>+28</f>
        <v>28</v>
      </c>
      <c r="P39" s="3" t="s">
        <v>261</v>
      </c>
      <c r="Q39" s="3" t="s">
        <v>50</v>
      </c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 t="s">
        <v>262</v>
      </c>
      <c r="B40" s="3" t="s">
        <v>263</v>
      </c>
      <c r="C40" s="3" t="s">
        <v>264</v>
      </c>
      <c r="D40" s="3" t="s">
        <v>265</v>
      </c>
      <c r="E40" s="5">
        <v>74.0</v>
      </c>
      <c r="F40" s="3" t="s">
        <v>99</v>
      </c>
      <c r="G40" s="5">
        <v>82.0</v>
      </c>
      <c r="H40" s="5">
        <v>650.0</v>
      </c>
      <c r="I40" s="5">
        <v>68.0</v>
      </c>
      <c r="J40" s="3" t="s">
        <v>63</v>
      </c>
      <c r="K40" s="5">
        <v>60.0</v>
      </c>
      <c r="L40" s="3" t="s">
        <v>266</v>
      </c>
      <c r="M40" s="5">
        <f>+35</f>
        <v>35</v>
      </c>
      <c r="N40" s="5">
        <v>-55.0</v>
      </c>
      <c r="O40" s="5">
        <f t="shared" ref="O40:O41" si="1">+25</f>
        <v>25</v>
      </c>
      <c r="P40" s="3" t="s">
        <v>267</v>
      </c>
      <c r="Q40" s="3" t="s">
        <v>58</v>
      </c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 t="s">
        <v>268</v>
      </c>
      <c r="B41" s="3" t="s">
        <v>269</v>
      </c>
      <c r="C41" s="3" t="s">
        <v>270</v>
      </c>
      <c r="D41" s="3" t="s">
        <v>271</v>
      </c>
      <c r="E41" s="5">
        <v>77.0</v>
      </c>
      <c r="F41" s="3" t="s">
        <v>114</v>
      </c>
      <c r="G41" s="5">
        <v>83.0</v>
      </c>
      <c r="H41" s="5">
        <v>900.0</v>
      </c>
      <c r="I41" s="5">
        <v>70.0</v>
      </c>
      <c r="J41" s="3" t="s">
        <v>79</v>
      </c>
      <c r="K41" s="5">
        <v>63.0</v>
      </c>
      <c r="L41" s="3" t="s">
        <v>173</v>
      </c>
      <c r="M41" s="5">
        <f>+36</f>
        <v>36</v>
      </c>
      <c r="N41" s="5">
        <v>-57.0</v>
      </c>
      <c r="O41" s="5">
        <f t="shared" si="1"/>
        <v>25</v>
      </c>
      <c r="P41" s="3" t="s">
        <v>272</v>
      </c>
      <c r="Q41" s="3" t="s">
        <v>50</v>
      </c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 t="s">
        <v>273</v>
      </c>
      <c r="B42" s="3" t="s">
        <v>274</v>
      </c>
      <c r="C42" s="3" t="s">
        <v>275</v>
      </c>
      <c r="D42" s="3" t="s">
        <v>276</v>
      </c>
      <c r="E42" s="5">
        <v>72.0</v>
      </c>
      <c r="F42" s="3" t="s">
        <v>22</v>
      </c>
      <c r="G42" s="5">
        <v>79.0</v>
      </c>
      <c r="H42" s="5">
        <v>620.0</v>
      </c>
      <c r="I42" s="5">
        <v>65.0</v>
      </c>
      <c r="J42" s="3" t="s">
        <v>55</v>
      </c>
      <c r="K42" s="5">
        <v>59.0</v>
      </c>
      <c r="L42" s="3" t="s">
        <v>141</v>
      </c>
      <c r="M42" s="5">
        <f>+35</f>
        <v>35</v>
      </c>
      <c r="N42" s="5">
        <v>-55.0</v>
      </c>
      <c r="O42" s="5">
        <f>+23</f>
        <v>23</v>
      </c>
      <c r="P42" s="3" t="s">
        <v>277</v>
      </c>
      <c r="Q42" s="3" t="s">
        <v>33</v>
      </c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 t="s">
        <v>278</v>
      </c>
      <c r="B43" s="3" t="s">
        <v>279</v>
      </c>
      <c r="C43" s="3" t="s">
        <v>280</v>
      </c>
      <c r="D43" s="3" t="s">
        <v>281</v>
      </c>
      <c r="E43" s="5">
        <v>81.0</v>
      </c>
      <c r="F43" s="3" t="s">
        <v>282</v>
      </c>
      <c r="G43" s="5">
        <v>86.0</v>
      </c>
      <c r="H43" s="5">
        <v>1050.0</v>
      </c>
      <c r="I43" s="5">
        <v>74.0</v>
      </c>
      <c r="J43" s="3" t="s">
        <v>99</v>
      </c>
      <c r="K43" s="5">
        <v>67.0</v>
      </c>
      <c r="L43" s="3" t="s">
        <v>283</v>
      </c>
      <c r="M43" s="5">
        <f>+42</f>
        <v>42</v>
      </c>
      <c r="N43" s="5">
        <v>-60.0</v>
      </c>
      <c r="O43" s="5">
        <f>+28</f>
        <v>28</v>
      </c>
      <c r="P43" s="3" t="s">
        <v>284</v>
      </c>
      <c r="Q43" s="3" t="s">
        <v>33</v>
      </c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 t="s">
        <v>285</v>
      </c>
      <c r="B44" s="3" t="s">
        <v>286</v>
      </c>
      <c r="C44" s="3" t="s">
        <v>287</v>
      </c>
      <c r="D44" s="3" t="s">
        <v>288</v>
      </c>
      <c r="E44" s="5">
        <v>68.0</v>
      </c>
      <c r="F44" s="3" t="s">
        <v>63</v>
      </c>
      <c r="G44" s="5">
        <v>76.0</v>
      </c>
      <c r="H44" s="5">
        <v>480.0</v>
      </c>
      <c r="I44" s="5">
        <v>61.0</v>
      </c>
      <c r="J44" s="3" t="s">
        <v>64</v>
      </c>
      <c r="K44" s="5">
        <v>55.0</v>
      </c>
      <c r="L44" s="3" t="s">
        <v>128</v>
      </c>
      <c r="M44" s="5">
        <f>+32</f>
        <v>32</v>
      </c>
      <c r="N44" s="5">
        <v>-52.0</v>
      </c>
      <c r="O44" s="5">
        <f>+22</f>
        <v>22</v>
      </c>
      <c r="P44" s="3" t="s">
        <v>289</v>
      </c>
      <c r="Q44" s="3" t="s">
        <v>58</v>
      </c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 t="s">
        <v>290</v>
      </c>
      <c r="B45" s="3" t="s">
        <v>291</v>
      </c>
      <c r="C45" s="3" t="s">
        <v>292</v>
      </c>
      <c r="D45" s="3" t="s">
        <v>293</v>
      </c>
      <c r="E45" s="5">
        <v>75.0</v>
      </c>
      <c r="F45" s="3" t="s">
        <v>47</v>
      </c>
      <c r="G45" s="5">
        <v>82.0</v>
      </c>
      <c r="H45" s="5">
        <v>700.0</v>
      </c>
      <c r="I45" s="5">
        <v>69.0</v>
      </c>
      <c r="J45" s="3" t="s">
        <v>38</v>
      </c>
      <c r="K45" s="5">
        <v>61.0</v>
      </c>
      <c r="L45" s="3" t="s">
        <v>245</v>
      </c>
      <c r="M45" s="5">
        <f>+37</f>
        <v>37</v>
      </c>
      <c r="N45" s="5">
        <v>-56.0</v>
      </c>
      <c r="O45" s="5">
        <f>+25</f>
        <v>25</v>
      </c>
      <c r="P45" s="3" t="s">
        <v>294</v>
      </c>
      <c r="Q45" s="3" t="s">
        <v>50</v>
      </c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 t="s">
        <v>295</v>
      </c>
      <c r="B46" s="3" t="s">
        <v>296</v>
      </c>
      <c r="C46" s="3" t="s">
        <v>297</v>
      </c>
      <c r="D46" s="3" t="s">
        <v>298</v>
      </c>
      <c r="E46" s="5">
        <v>70.0</v>
      </c>
      <c r="F46" s="3" t="s">
        <v>55</v>
      </c>
      <c r="G46" s="5">
        <v>78.0</v>
      </c>
      <c r="H46" s="5">
        <v>520.0</v>
      </c>
      <c r="I46" s="5">
        <v>62.0</v>
      </c>
      <c r="J46" s="3" t="s">
        <v>64</v>
      </c>
      <c r="K46" s="5">
        <v>56.0</v>
      </c>
      <c r="L46" s="3" t="s">
        <v>179</v>
      </c>
      <c r="M46" s="5">
        <f>+33</f>
        <v>33</v>
      </c>
      <c r="N46" s="5">
        <v>-52.0</v>
      </c>
      <c r="O46" s="5">
        <f>+22</f>
        <v>22</v>
      </c>
      <c r="P46" s="3" t="s">
        <v>299</v>
      </c>
      <c r="Q46" s="3" t="s">
        <v>102</v>
      </c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 t="s">
        <v>300</v>
      </c>
      <c r="B47" s="3" t="s">
        <v>301</v>
      </c>
      <c r="C47" s="3" t="s">
        <v>302</v>
      </c>
      <c r="D47" s="3" t="s">
        <v>303</v>
      </c>
      <c r="E47" s="5">
        <v>77.0</v>
      </c>
      <c r="F47" s="3" t="s">
        <v>47</v>
      </c>
      <c r="G47" s="5">
        <v>83.0</v>
      </c>
      <c r="H47" s="5">
        <v>750.0</v>
      </c>
      <c r="I47" s="5">
        <v>68.0</v>
      </c>
      <c r="J47" s="3" t="s">
        <v>38</v>
      </c>
      <c r="K47" s="5">
        <v>60.0</v>
      </c>
      <c r="L47" s="3" t="s">
        <v>134</v>
      </c>
      <c r="M47" s="5">
        <f>+35</f>
        <v>35</v>
      </c>
      <c r="N47" s="5">
        <v>-57.0</v>
      </c>
      <c r="O47" s="5">
        <f>+25</f>
        <v>25</v>
      </c>
      <c r="P47" s="3" t="s">
        <v>304</v>
      </c>
      <c r="Q47" s="3" t="s">
        <v>50</v>
      </c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 t="s">
        <v>305</v>
      </c>
      <c r="B48" s="3" t="s">
        <v>306</v>
      </c>
      <c r="C48" s="3" t="s">
        <v>307</v>
      </c>
      <c r="D48" s="3" t="s">
        <v>308</v>
      </c>
      <c r="E48" s="5">
        <v>79.0</v>
      </c>
      <c r="F48" s="3" t="s">
        <v>140</v>
      </c>
      <c r="G48" s="5">
        <v>85.0</v>
      </c>
      <c r="H48" s="5">
        <v>880.0</v>
      </c>
      <c r="I48" s="5">
        <v>71.0</v>
      </c>
      <c r="J48" s="3" t="s">
        <v>30</v>
      </c>
      <c r="K48" s="5">
        <v>64.0</v>
      </c>
      <c r="L48" s="3" t="s">
        <v>266</v>
      </c>
      <c r="M48" s="5">
        <f>+38</f>
        <v>38</v>
      </c>
      <c r="N48" s="5">
        <v>-59.0</v>
      </c>
      <c r="O48" s="5">
        <f>+26</f>
        <v>26</v>
      </c>
      <c r="P48" s="3" t="s">
        <v>309</v>
      </c>
      <c r="Q48" s="3" t="s">
        <v>58</v>
      </c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 t="s">
        <v>310</v>
      </c>
      <c r="B49" s="3" t="s">
        <v>311</v>
      </c>
      <c r="C49" s="3" t="s">
        <v>312</v>
      </c>
      <c r="D49" s="3" t="s">
        <v>313</v>
      </c>
      <c r="E49" s="5">
        <v>70.0</v>
      </c>
      <c r="F49" s="3" t="s">
        <v>63</v>
      </c>
      <c r="G49" s="5">
        <v>77.0</v>
      </c>
      <c r="H49" s="5">
        <v>520.0</v>
      </c>
      <c r="I49" s="5">
        <v>62.0</v>
      </c>
      <c r="J49" s="3" t="s">
        <v>71</v>
      </c>
      <c r="K49" s="5">
        <v>56.0</v>
      </c>
      <c r="L49" s="3" t="s">
        <v>147</v>
      </c>
      <c r="M49" s="5">
        <f>+32</f>
        <v>32</v>
      </c>
      <c r="N49" s="5">
        <v>-51.0</v>
      </c>
      <c r="O49" s="5">
        <f>+21</f>
        <v>21</v>
      </c>
      <c r="P49" s="3" t="s">
        <v>314</v>
      </c>
      <c r="Q49" s="3" t="s">
        <v>50</v>
      </c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" t="s">
        <v>315</v>
      </c>
      <c r="B50" s="3" t="s">
        <v>316</v>
      </c>
      <c r="C50" s="3" t="s">
        <v>317</v>
      </c>
      <c r="D50" s="3" t="s">
        <v>318</v>
      </c>
      <c r="E50" s="5">
        <v>76.0</v>
      </c>
      <c r="F50" s="3" t="s">
        <v>47</v>
      </c>
      <c r="G50" s="5">
        <v>82.0</v>
      </c>
      <c r="H50" s="5">
        <v>720.0</v>
      </c>
      <c r="I50" s="5">
        <v>68.0</v>
      </c>
      <c r="J50" s="3" t="s">
        <v>63</v>
      </c>
      <c r="K50" s="5">
        <v>61.0</v>
      </c>
      <c r="L50" s="3" t="s">
        <v>319</v>
      </c>
      <c r="M50" s="5">
        <f>+36</f>
        <v>36</v>
      </c>
      <c r="N50" s="5">
        <v>-56.0</v>
      </c>
      <c r="O50" s="5">
        <f>+24</f>
        <v>24</v>
      </c>
      <c r="P50" s="3" t="s">
        <v>320</v>
      </c>
      <c r="Q50" s="3" t="s">
        <v>58</v>
      </c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 t="s">
        <v>321</v>
      </c>
      <c r="B51" s="3" t="s">
        <v>322</v>
      </c>
      <c r="C51" s="3" t="s">
        <v>323</v>
      </c>
      <c r="D51" s="3" t="s">
        <v>324</v>
      </c>
      <c r="E51" s="5">
        <v>83.0</v>
      </c>
      <c r="F51" s="3" t="s">
        <v>46</v>
      </c>
      <c r="G51" s="5">
        <v>88.0</v>
      </c>
      <c r="H51" s="5">
        <v>1000.0</v>
      </c>
      <c r="I51" s="5">
        <v>76.0</v>
      </c>
      <c r="J51" s="3" t="s">
        <v>99</v>
      </c>
      <c r="K51" s="5">
        <v>69.0</v>
      </c>
      <c r="L51" s="3" t="s">
        <v>161</v>
      </c>
      <c r="M51" s="5">
        <f>+40</f>
        <v>40</v>
      </c>
      <c r="N51" s="5">
        <v>-62.0</v>
      </c>
      <c r="O51" s="5">
        <f>+28</f>
        <v>28</v>
      </c>
      <c r="P51" s="3" t="s">
        <v>325</v>
      </c>
      <c r="Q51" s="3" t="s">
        <v>50</v>
      </c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 t="s">
        <v>326</v>
      </c>
      <c r="B52" s="3" t="s">
        <v>327</v>
      </c>
      <c r="C52" s="3" t="s">
        <v>328</v>
      </c>
      <c r="D52" s="3" t="s">
        <v>329</v>
      </c>
      <c r="E52" s="5">
        <v>78.0</v>
      </c>
      <c r="F52" s="3" t="s">
        <v>29</v>
      </c>
      <c r="G52" s="5">
        <v>85.0</v>
      </c>
      <c r="H52" s="5">
        <v>940.0</v>
      </c>
      <c r="I52" s="5">
        <v>72.0</v>
      </c>
      <c r="J52" s="3" t="s">
        <v>22</v>
      </c>
      <c r="K52" s="5">
        <v>65.0</v>
      </c>
      <c r="L52" s="3" t="s">
        <v>141</v>
      </c>
      <c r="M52" s="5">
        <f>+37</f>
        <v>37</v>
      </c>
      <c r="N52" s="5">
        <v>-59.0</v>
      </c>
      <c r="O52" s="5">
        <f>+26</f>
        <v>26</v>
      </c>
      <c r="P52" s="3" t="s">
        <v>330</v>
      </c>
      <c r="Q52" s="3" t="s">
        <v>58</v>
      </c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" t="s">
        <v>331</v>
      </c>
      <c r="B53" s="3" t="s">
        <v>332</v>
      </c>
      <c r="C53" s="3" t="s">
        <v>333</v>
      </c>
      <c r="D53" s="3" t="s">
        <v>334</v>
      </c>
      <c r="E53" s="5">
        <v>71.0</v>
      </c>
      <c r="F53" s="3" t="s">
        <v>38</v>
      </c>
      <c r="G53" s="5">
        <v>78.0</v>
      </c>
      <c r="H53" s="5">
        <v>520.0</v>
      </c>
      <c r="I53" s="5">
        <v>63.0</v>
      </c>
      <c r="J53" s="3" t="s">
        <v>71</v>
      </c>
      <c r="K53" s="5">
        <v>57.0</v>
      </c>
      <c r="L53" s="3" t="s">
        <v>147</v>
      </c>
      <c r="M53" s="5">
        <f>+32</f>
        <v>32</v>
      </c>
      <c r="N53" s="5">
        <v>-52.0</v>
      </c>
      <c r="O53" s="5">
        <f>+22</f>
        <v>22</v>
      </c>
      <c r="P53" s="3" t="s">
        <v>335</v>
      </c>
      <c r="Q53" s="3" t="s">
        <v>33</v>
      </c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" t="s">
        <v>336</v>
      </c>
      <c r="B54" s="3" t="s">
        <v>337</v>
      </c>
      <c r="C54" s="3" t="s">
        <v>338</v>
      </c>
      <c r="D54" s="3" t="s">
        <v>339</v>
      </c>
      <c r="E54" s="5">
        <v>74.0</v>
      </c>
      <c r="F54" s="3" t="s">
        <v>22</v>
      </c>
      <c r="G54" s="5">
        <v>81.0</v>
      </c>
      <c r="H54" s="5">
        <v>620.0</v>
      </c>
      <c r="I54" s="5">
        <v>66.0</v>
      </c>
      <c r="J54" s="3" t="s">
        <v>55</v>
      </c>
      <c r="K54" s="5">
        <v>59.0</v>
      </c>
      <c r="L54" s="3" t="s">
        <v>167</v>
      </c>
      <c r="M54" s="5">
        <f>+35</f>
        <v>35</v>
      </c>
      <c r="N54" s="5">
        <v>-55.0</v>
      </c>
      <c r="O54" s="5">
        <f>+24</f>
        <v>24</v>
      </c>
      <c r="P54" s="3" t="s">
        <v>340</v>
      </c>
      <c r="Q54" s="3" t="s">
        <v>58</v>
      </c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 t="s">
        <v>341</v>
      </c>
      <c r="B55" s="3" t="s">
        <v>342</v>
      </c>
      <c r="C55" s="3" t="s">
        <v>343</v>
      </c>
      <c r="D55" s="3" t="s">
        <v>344</v>
      </c>
      <c r="E55" s="5">
        <v>67.0</v>
      </c>
      <c r="F55" s="3" t="s">
        <v>71</v>
      </c>
      <c r="G55" s="5">
        <v>75.0</v>
      </c>
      <c r="H55" s="5">
        <v>480.0</v>
      </c>
      <c r="I55" s="5">
        <v>59.0</v>
      </c>
      <c r="J55" s="3" t="s">
        <v>127</v>
      </c>
      <c r="K55" s="5">
        <v>54.0</v>
      </c>
      <c r="L55" s="3" t="s">
        <v>207</v>
      </c>
      <c r="M55" s="5">
        <f>+30</f>
        <v>30</v>
      </c>
      <c r="N55" s="5">
        <v>-49.0</v>
      </c>
      <c r="O55" s="5">
        <f>+20</f>
        <v>20</v>
      </c>
      <c r="P55" s="3" t="s">
        <v>345</v>
      </c>
      <c r="Q55" s="3" t="s">
        <v>50</v>
      </c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 t="s">
        <v>346</v>
      </c>
      <c r="B56" s="3" t="s">
        <v>347</v>
      </c>
      <c r="C56" s="3" t="s">
        <v>348</v>
      </c>
      <c r="D56" s="3" t="s">
        <v>349</v>
      </c>
      <c r="E56" s="5">
        <v>70.0</v>
      </c>
      <c r="F56" s="3" t="s">
        <v>79</v>
      </c>
      <c r="G56" s="5">
        <v>78.0</v>
      </c>
      <c r="H56" s="5">
        <v>560.0</v>
      </c>
      <c r="I56" s="5">
        <v>62.0</v>
      </c>
      <c r="J56" s="3" t="s">
        <v>64</v>
      </c>
      <c r="K56" s="5">
        <v>56.0</v>
      </c>
      <c r="L56" s="3" t="s">
        <v>190</v>
      </c>
      <c r="M56" s="5">
        <f>+38</f>
        <v>38</v>
      </c>
      <c r="N56" s="5">
        <v>-53.0</v>
      </c>
      <c r="O56" s="5">
        <f>+23</f>
        <v>23</v>
      </c>
      <c r="P56" s="3" t="s">
        <v>350</v>
      </c>
      <c r="Q56" s="3" t="s">
        <v>58</v>
      </c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 t="s">
        <v>351</v>
      </c>
      <c r="B57" s="3" t="s">
        <v>352</v>
      </c>
      <c r="C57" s="3" t="s">
        <v>353</v>
      </c>
      <c r="D57" s="3" t="s">
        <v>354</v>
      </c>
      <c r="E57" s="5">
        <v>73.0</v>
      </c>
      <c r="F57" s="3" t="s">
        <v>30</v>
      </c>
      <c r="G57" s="5">
        <v>80.0</v>
      </c>
      <c r="H57" s="5">
        <v>600.0</v>
      </c>
      <c r="I57" s="5">
        <v>65.0</v>
      </c>
      <c r="J57" s="3" t="s">
        <v>71</v>
      </c>
      <c r="K57" s="5">
        <v>58.0</v>
      </c>
      <c r="L57" s="3" t="s">
        <v>179</v>
      </c>
      <c r="M57" s="5">
        <f>+34</f>
        <v>34</v>
      </c>
      <c r="N57" s="5">
        <v>-56.0</v>
      </c>
      <c r="O57" s="5">
        <f>+24</f>
        <v>24</v>
      </c>
      <c r="P57" s="3" t="s">
        <v>355</v>
      </c>
      <c r="Q57" s="3" t="s">
        <v>155</v>
      </c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 t="s">
        <v>356</v>
      </c>
      <c r="B58" s="3" t="s">
        <v>357</v>
      </c>
      <c r="C58" s="3" t="s">
        <v>358</v>
      </c>
      <c r="D58" s="3" t="s">
        <v>359</v>
      </c>
      <c r="E58" s="5">
        <v>76.0</v>
      </c>
      <c r="F58" s="3" t="s">
        <v>47</v>
      </c>
      <c r="G58" s="5">
        <v>82.0</v>
      </c>
      <c r="H58" s="5">
        <v>700.0</v>
      </c>
      <c r="I58" s="5">
        <v>68.0</v>
      </c>
      <c r="J58" s="3" t="s">
        <v>38</v>
      </c>
      <c r="K58" s="5">
        <v>61.0</v>
      </c>
      <c r="L58" s="3" t="s">
        <v>134</v>
      </c>
      <c r="M58" s="5">
        <f>+36</f>
        <v>36</v>
      </c>
      <c r="N58" s="5">
        <v>-57.0</v>
      </c>
      <c r="O58" s="5">
        <f>+25</f>
        <v>25</v>
      </c>
      <c r="P58" s="3" t="s">
        <v>360</v>
      </c>
      <c r="Q58" s="3" t="s">
        <v>50</v>
      </c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 t="s">
        <v>361</v>
      </c>
      <c r="B59" s="3" t="s">
        <v>362</v>
      </c>
      <c r="C59" s="3" t="s">
        <v>363</v>
      </c>
      <c r="D59" s="3" t="s">
        <v>364</v>
      </c>
      <c r="E59" s="5">
        <v>78.0</v>
      </c>
      <c r="F59" s="3" t="s">
        <v>107</v>
      </c>
      <c r="G59" s="5">
        <v>85.0</v>
      </c>
      <c r="H59" s="5">
        <v>880.0</v>
      </c>
      <c r="I59" s="5">
        <v>71.0</v>
      </c>
      <c r="J59" s="3" t="s">
        <v>30</v>
      </c>
      <c r="K59" s="5">
        <v>64.0</v>
      </c>
      <c r="L59" s="3" t="s">
        <v>245</v>
      </c>
      <c r="M59" s="5">
        <f>+37</f>
        <v>37</v>
      </c>
      <c r="N59" s="5">
        <v>-59.0</v>
      </c>
      <c r="O59" s="5">
        <f t="shared" ref="O59:O60" si="2">+26</f>
        <v>26</v>
      </c>
      <c r="P59" s="3" t="s">
        <v>365</v>
      </c>
      <c r="Q59" s="3" t="s">
        <v>58</v>
      </c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 t="s">
        <v>366</v>
      </c>
      <c r="B60" s="3" t="s">
        <v>367</v>
      </c>
      <c r="C60" s="3" t="s">
        <v>368</v>
      </c>
      <c r="D60" s="3" t="s">
        <v>369</v>
      </c>
      <c r="E60" s="5">
        <v>77.0</v>
      </c>
      <c r="F60" s="3" t="s">
        <v>244</v>
      </c>
      <c r="G60" s="5">
        <v>84.0</v>
      </c>
      <c r="H60" s="5">
        <v>820.0</v>
      </c>
      <c r="I60" s="5">
        <v>70.0</v>
      </c>
      <c r="J60" s="3" t="s">
        <v>79</v>
      </c>
      <c r="K60" s="5">
        <v>63.0</v>
      </c>
      <c r="L60" s="3" t="s">
        <v>319</v>
      </c>
      <c r="M60" s="5">
        <f>+39</f>
        <v>39</v>
      </c>
      <c r="N60" s="5">
        <v>-58.0</v>
      </c>
      <c r="O60" s="5">
        <f t="shared" si="2"/>
        <v>26</v>
      </c>
      <c r="P60" s="3" t="s">
        <v>370</v>
      </c>
      <c r="Q60" s="3" t="s">
        <v>50</v>
      </c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 t="s">
        <v>371</v>
      </c>
      <c r="B61" s="3" t="s">
        <v>372</v>
      </c>
      <c r="C61" s="3" t="s">
        <v>373</v>
      </c>
      <c r="D61" s="3" t="s">
        <v>374</v>
      </c>
      <c r="E61" s="5">
        <v>69.0</v>
      </c>
      <c r="F61" s="3" t="s">
        <v>55</v>
      </c>
      <c r="G61" s="5">
        <v>77.0</v>
      </c>
      <c r="H61" s="5">
        <v>520.0</v>
      </c>
      <c r="I61" s="5">
        <v>61.0</v>
      </c>
      <c r="J61" s="3" t="s">
        <v>64</v>
      </c>
      <c r="K61" s="5">
        <v>55.0</v>
      </c>
      <c r="L61" s="3" t="s">
        <v>128</v>
      </c>
      <c r="M61" s="5">
        <f>+28</f>
        <v>28</v>
      </c>
      <c r="N61" s="5">
        <v>-50.0</v>
      </c>
      <c r="O61" s="5">
        <f>+19</f>
        <v>19</v>
      </c>
      <c r="P61" s="3" t="s">
        <v>375</v>
      </c>
      <c r="Q61" s="3" t="s">
        <v>155</v>
      </c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 t="s">
        <v>376</v>
      </c>
      <c r="B62" s="3" t="s">
        <v>377</v>
      </c>
      <c r="C62" s="3" t="s">
        <v>378</v>
      </c>
      <c r="D62" s="3" t="s">
        <v>379</v>
      </c>
      <c r="E62" s="5">
        <v>71.0</v>
      </c>
      <c r="F62" s="3" t="s">
        <v>63</v>
      </c>
      <c r="G62" s="5">
        <v>79.0</v>
      </c>
      <c r="H62" s="5">
        <v>560.0</v>
      </c>
      <c r="I62" s="5">
        <v>63.0</v>
      </c>
      <c r="J62" s="3" t="s">
        <v>71</v>
      </c>
      <c r="K62" s="5">
        <v>57.0</v>
      </c>
      <c r="L62" s="3" t="s">
        <v>190</v>
      </c>
      <c r="M62" s="5">
        <f>+30</f>
        <v>30</v>
      </c>
      <c r="N62" s="5">
        <v>-51.0</v>
      </c>
      <c r="O62" s="5">
        <f>+20</f>
        <v>20</v>
      </c>
      <c r="P62" s="3" t="s">
        <v>380</v>
      </c>
      <c r="Q62" s="3" t="s">
        <v>102</v>
      </c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 t="s">
        <v>381</v>
      </c>
      <c r="B63" s="3" t="s">
        <v>382</v>
      </c>
      <c r="C63" s="3" t="s">
        <v>383</v>
      </c>
      <c r="D63" s="3" t="s">
        <v>384</v>
      </c>
      <c r="E63" s="5">
        <v>75.0</v>
      </c>
      <c r="F63" s="3" t="s">
        <v>47</v>
      </c>
      <c r="G63" s="5">
        <v>83.0</v>
      </c>
      <c r="H63" s="5">
        <v>740.0</v>
      </c>
      <c r="I63" s="5">
        <v>68.0</v>
      </c>
      <c r="J63" s="3" t="s">
        <v>38</v>
      </c>
      <c r="K63" s="5">
        <v>61.0</v>
      </c>
      <c r="L63" s="3" t="s">
        <v>141</v>
      </c>
      <c r="M63" s="5">
        <f>+33</f>
        <v>33</v>
      </c>
      <c r="N63" s="5">
        <v>-55.0</v>
      </c>
      <c r="O63" s="5">
        <f>+23</f>
        <v>23</v>
      </c>
      <c r="P63" s="3" t="s">
        <v>385</v>
      </c>
      <c r="Q63" s="3" t="s">
        <v>50</v>
      </c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 t="s">
        <v>386</v>
      </c>
      <c r="B64" s="3" t="s">
        <v>387</v>
      </c>
      <c r="C64" s="3" t="s">
        <v>388</v>
      </c>
      <c r="D64" s="3" t="s">
        <v>389</v>
      </c>
      <c r="E64" s="5">
        <v>82.0</v>
      </c>
      <c r="F64" s="3" t="s">
        <v>21</v>
      </c>
      <c r="G64" s="5">
        <v>90.0</v>
      </c>
      <c r="H64" s="4">
        <v>1200.0</v>
      </c>
      <c r="I64" s="5">
        <v>76.0</v>
      </c>
      <c r="J64" s="3" t="s">
        <v>244</v>
      </c>
      <c r="K64" s="5">
        <v>68.0</v>
      </c>
      <c r="L64" s="3" t="s">
        <v>390</v>
      </c>
      <c r="M64" s="5">
        <f>+45</f>
        <v>45</v>
      </c>
      <c r="N64" s="5">
        <v>-65.0</v>
      </c>
      <c r="O64" s="5">
        <f>+30</f>
        <v>30</v>
      </c>
      <c r="P64" s="3" t="s">
        <v>391</v>
      </c>
      <c r="Q64" s="3" t="s">
        <v>392</v>
      </c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" t="s">
        <v>393</v>
      </c>
      <c r="B65" s="3" t="s">
        <v>394</v>
      </c>
      <c r="C65" s="3" t="s">
        <v>395</v>
      </c>
      <c r="D65" s="3" t="s">
        <v>396</v>
      </c>
      <c r="E65" s="5">
        <v>66.0</v>
      </c>
      <c r="F65" s="3" t="s">
        <v>64</v>
      </c>
      <c r="G65" s="5">
        <v>74.0</v>
      </c>
      <c r="H65" s="5">
        <v>420.0</v>
      </c>
      <c r="I65" s="5">
        <v>58.0</v>
      </c>
      <c r="J65" s="3" t="s">
        <v>127</v>
      </c>
      <c r="K65" s="5">
        <v>53.0</v>
      </c>
      <c r="L65" s="3" t="s">
        <v>153</v>
      </c>
      <c r="M65" s="5">
        <f>+29</f>
        <v>29</v>
      </c>
      <c r="N65" s="5">
        <v>-49.0</v>
      </c>
      <c r="O65" s="5">
        <f>+19</f>
        <v>19</v>
      </c>
      <c r="P65" s="3" t="s">
        <v>397</v>
      </c>
      <c r="Q65" s="3" t="s">
        <v>102</v>
      </c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" t="s">
        <v>398</v>
      </c>
      <c r="B66" s="3" t="s">
        <v>399</v>
      </c>
      <c r="C66" s="3" t="s">
        <v>400</v>
      </c>
      <c r="D66" s="3" t="s">
        <v>401</v>
      </c>
      <c r="E66" s="5">
        <v>72.0</v>
      </c>
      <c r="F66" s="3" t="s">
        <v>38</v>
      </c>
      <c r="G66" s="5">
        <v>80.0</v>
      </c>
      <c r="H66" s="5">
        <v>620.0</v>
      </c>
      <c r="I66" s="5">
        <v>65.0</v>
      </c>
      <c r="J66" s="3" t="s">
        <v>55</v>
      </c>
      <c r="K66" s="5">
        <v>58.0</v>
      </c>
      <c r="L66" s="3" t="s">
        <v>147</v>
      </c>
      <c r="M66" s="5">
        <f>+40</f>
        <v>40</v>
      </c>
      <c r="N66" s="5">
        <v>-55.0</v>
      </c>
      <c r="O66" s="5">
        <f>+24</f>
        <v>24</v>
      </c>
      <c r="P66" s="3" t="s">
        <v>402</v>
      </c>
      <c r="Q66" s="3" t="s">
        <v>58</v>
      </c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" t="s">
        <v>403</v>
      </c>
      <c r="B67" s="3" t="s">
        <v>404</v>
      </c>
      <c r="C67" s="3" t="s">
        <v>405</v>
      </c>
      <c r="D67" s="3" t="s">
        <v>406</v>
      </c>
      <c r="E67" s="5">
        <v>69.0</v>
      </c>
      <c r="F67" s="3" t="s">
        <v>55</v>
      </c>
      <c r="G67" s="5">
        <v>76.0</v>
      </c>
      <c r="H67" s="5">
        <v>480.0</v>
      </c>
      <c r="I67" s="5">
        <v>61.0</v>
      </c>
      <c r="J67" s="3" t="s">
        <v>64</v>
      </c>
      <c r="K67" s="5">
        <v>55.0</v>
      </c>
      <c r="L67" s="3" t="s">
        <v>207</v>
      </c>
      <c r="M67" s="5">
        <f>+32</f>
        <v>32</v>
      </c>
      <c r="N67" s="5">
        <v>-52.0</v>
      </c>
      <c r="O67" s="5">
        <f>+22</f>
        <v>22</v>
      </c>
      <c r="P67" s="3" t="s">
        <v>407</v>
      </c>
      <c r="Q67" s="3" t="s">
        <v>33</v>
      </c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" t="s">
        <v>408</v>
      </c>
      <c r="B68" s="3" t="s">
        <v>409</v>
      </c>
      <c r="C68" s="3" t="s">
        <v>410</v>
      </c>
      <c r="D68" s="3" t="s">
        <v>411</v>
      </c>
      <c r="E68" s="5">
        <v>78.0</v>
      </c>
      <c r="F68" s="3" t="s">
        <v>107</v>
      </c>
      <c r="G68" s="5">
        <v>84.0</v>
      </c>
      <c r="H68" s="5">
        <v>900.0</v>
      </c>
      <c r="I68" s="5">
        <v>70.0</v>
      </c>
      <c r="J68" s="3" t="s">
        <v>79</v>
      </c>
      <c r="K68" s="5">
        <v>63.0</v>
      </c>
      <c r="L68" s="3" t="s">
        <v>245</v>
      </c>
      <c r="M68" s="5">
        <f>+38</f>
        <v>38</v>
      </c>
      <c r="N68" s="5">
        <v>-58.0</v>
      </c>
      <c r="O68" s="5">
        <f>+26</f>
        <v>26</v>
      </c>
      <c r="P68" s="3" t="s">
        <v>412</v>
      </c>
      <c r="Q68" s="3" t="s">
        <v>33</v>
      </c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" t="s">
        <v>413</v>
      </c>
      <c r="B69" s="3" t="s">
        <v>414</v>
      </c>
      <c r="C69" s="3" t="s">
        <v>415</v>
      </c>
      <c r="D69" s="3" t="s">
        <v>416</v>
      </c>
      <c r="E69" s="5">
        <v>65.0</v>
      </c>
      <c r="F69" s="3" t="s">
        <v>64</v>
      </c>
      <c r="G69" s="5">
        <v>73.0</v>
      </c>
      <c r="H69" s="5">
        <v>420.0</v>
      </c>
      <c r="I69" s="5">
        <v>58.0</v>
      </c>
      <c r="J69" s="3" t="s">
        <v>127</v>
      </c>
      <c r="K69" s="5">
        <v>53.0</v>
      </c>
      <c r="L69" s="3" t="s">
        <v>153</v>
      </c>
      <c r="M69" s="5">
        <f>+28</f>
        <v>28</v>
      </c>
      <c r="N69" s="5">
        <v>-49.0</v>
      </c>
      <c r="O69" s="5">
        <f>+18</f>
        <v>18</v>
      </c>
      <c r="P69" s="3" t="s">
        <v>417</v>
      </c>
      <c r="Q69" s="3" t="s">
        <v>155</v>
      </c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" t="s">
        <v>418</v>
      </c>
      <c r="B70" s="3" t="s">
        <v>419</v>
      </c>
      <c r="C70" s="3" t="s">
        <v>420</v>
      </c>
      <c r="D70" s="3" t="s">
        <v>421</v>
      </c>
      <c r="E70" s="5">
        <v>82.0</v>
      </c>
      <c r="F70" s="3" t="s">
        <v>160</v>
      </c>
      <c r="G70" s="5">
        <v>88.0</v>
      </c>
      <c r="H70" s="4">
        <v>1050.0</v>
      </c>
      <c r="I70" s="5">
        <v>76.0</v>
      </c>
      <c r="J70" s="3" t="s">
        <v>47</v>
      </c>
      <c r="K70" s="5">
        <v>68.0</v>
      </c>
      <c r="L70" s="3" t="s">
        <v>161</v>
      </c>
      <c r="M70" s="5">
        <f>+40</f>
        <v>40</v>
      </c>
      <c r="N70" s="5">
        <v>-63.0</v>
      </c>
      <c r="O70" s="5">
        <f>+28</f>
        <v>28</v>
      </c>
      <c r="P70" s="3" t="s">
        <v>422</v>
      </c>
      <c r="Q70" s="3" t="s">
        <v>50</v>
      </c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 t="s">
        <v>423</v>
      </c>
      <c r="B71" s="3" t="s">
        <v>424</v>
      </c>
      <c r="C71" s="3" t="s">
        <v>425</v>
      </c>
      <c r="D71" s="3" t="s">
        <v>426</v>
      </c>
      <c r="E71" s="5">
        <v>74.0</v>
      </c>
      <c r="F71" s="3" t="s">
        <v>22</v>
      </c>
      <c r="G71" s="5">
        <v>81.0</v>
      </c>
      <c r="H71" s="5">
        <v>650.0</v>
      </c>
      <c r="I71" s="5">
        <v>66.0</v>
      </c>
      <c r="J71" s="3" t="s">
        <v>63</v>
      </c>
      <c r="K71" s="5">
        <v>59.0</v>
      </c>
      <c r="L71" s="3" t="s">
        <v>147</v>
      </c>
      <c r="M71" s="5">
        <f>+34</f>
        <v>34</v>
      </c>
      <c r="N71" s="5">
        <v>-55.0</v>
      </c>
      <c r="O71" s="5">
        <f>+23</f>
        <v>23</v>
      </c>
      <c r="P71" s="3" t="s">
        <v>427</v>
      </c>
      <c r="Q71" s="3" t="s">
        <v>50</v>
      </c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 t="s">
        <v>428</v>
      </c>
      <c r="B72" s="3" t="s">
        <v>429</v>
      </c>
      <c r="C72" s="3" t="s">
        <v>430</v>
      </c>
      <c r="D72" s="3" t="s">
        <v>431</v>
      </c>
      <c r="E72" s="5">
        <v>76.0</v>
      </c>
      <c r="F72" s="3" t="s">
        <v>47</v>
      </c>
      <c r="G72" s="5">
        <v>82.0</v>
      </c>
      <c r="H72" s="5">
        <v>700.0</v>
      </c>
      <c r="I72" s="5">
        <v>68.0</v>
      </c>
      <c r="J72" s="3" t="s">
        <v>38</v>
      </c>
      <c r="K72" s="5">
        <v>61.0</v>
      </c>
      <c r="L72" s="3" t="s">
        <v>167</v>
      </c>
      <c r="M72" s="5">
        <f>+36</f>
        <v>36</v>
      </c>
      <c r="N72" s="5">
        <v>-56.0</v>
      </c>
      <c r="O72" s="5">
        <f>+24</f>
        <v>24</v>
      </c>
      <c r="P72" s="3" t="s">
        <v>432</v>
      </c>
      <c r="Q72" s="3" t="s">
        <v>58</v>
      </c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4" t="s">
        <v>433</v>
      </c>
      <c r="B73" s="3" t="s">
        <v>434</v>
      </c>
      <c r="C73" s="3" t="s">
        <v>435</v>
      </c>
      <c r="D73" s="3" t="s">
        <v>436</v>
      </c>
      <c r="E73" s="5">
        <v>69.0</v>
      </c>
      <c r="F73" s="3" t="s">
        <v>55</v>
      </c>
      <c r="G73" s="5">
        <v>77.0</v>
      </c>
      <c r="H73" s="5">
        <v>480.0</v>
      </c>
      <c r="I73" s="5">
        <v>62.0</v>
      </c>
      <c r="J73" s="3" t="s">
        <v>64</v>
      </c>
      <c r="K73" s="5">
        <v>55.0</v>
      </c>
      <c r="L73" s="3" t="s">
        <v>190</v>
      </c>
      <c r="M73" s="5">
        <f>+33</f>
        <v>33</v>
      </c>
      <c r="N73" s="5">
        <v>-52.0</v>
      </c>
      <c r="O73" s="5">
        <f>+22</f>
        <v>22</v>
      </c>
      <c r="P73" s="3" t="s">
        <v>437</v>
      </c>
      <c r="Q73" s="3" t="s">
        <v>50</v>
      </c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" t="s">
        <v>438</v>
      </c>
      <c r="B74" s="3" t="s">
        <v>439</v>
      </c>
      <c r="C74" s="3" t="s">
        <v>440</v>
      </c>
      <c r="D74" s="3" t="s">
        <v>441</v>
      </c>
      <c r="E74" s="5">
        <v>65.0</v>
      </c>
      <c r="F74" s="3" t="s">
        <v>64</v>
      </c>
      <c r="G74" s="5">
        <v>72.0</v>
      </c>
      <c r="H74" s="5">
        <v>420.0</v>
      </c>
      <c r="I74" s="5">
        <v>57.0</v>
      </c>
      <c r="J74" s="3" t="s">
        <v>127</v>
      </c>
      <c r="K74" s="5">
        <v>52.0</v>
      </c>
      <c r="L74" s="3" t="s">
        <v>207</v>
      </c>
      <c r="M74" s="5">
        <f>+30</f>
        <v>30</v>
      </c>
      <c r="N74" s="5">
        <v>-50.0</v>
      </c>
      <c r="O74" s="5">
        <f>+19</f>
        <v>19</v>
      </c>
      <c r="P74" s="3" t="s">
        <v>442</v>
      </c>
      <c r="Q74" s="3" t="s">
        <v>155</v>
      </c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4" t="s">
        <v>443</v>
      </c>
      <c r="B75" s="3" t="s">
        <v>444</v>
      </c>
      <c r="C75" s="3" t="s">
        <v>445</v>
      </c>
      <c r="D75" s="3" t="s">
        <v>446</v>
      </c>
      <c r="E75" s="5">
        <v>70.0</v>
      </c>
      <c r="F75" s="3" t="s">
        <v>38</v>
      </c>
      <c r="G75" s="5">
        <v>78.0</v>
      </c>
      <c r="H75" s="5">
        <v>560.0</v>
      </c>
      <c r="I75" s="5">
        <v>63.0</v>
      </c>
      <c r="J75" s="3" t="s">
        <v>71</v>
      </c>
      <c r="K75" s="5">
        <v>57.0</v>
      </c>
      <c r="L75" s="3" t="s">
        <v>147</v>
      </c>
      <c r="M75" s="5">
        <f>+33</f>
        <v>33</v>
      </c>
      <c r="N75" s="5">
        <v>-53.0</v>
      </c>
      <c r="O75" s="5">
        <f>+22</f>
        <v>22</v>
      </c>
      <c r="P75" s="3" t="s">
        <v>447</v>
      </c>
      <c r="Q75" s="3" t="s">
        <v>50</v>
      </c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4" t="s">
        <v>448</v>
      </c>
      <c r="B76" s="3" t="s">
        <v>449</v>
      </c>
      <c r="C76" s="3" t="s">
        <v>450</v>
      </c>
      <c r="D76" s="3" t="s">
        <v>451</v>
      </c>
      <c r="E76" s="5">
        <v>79.0</v>
      </c>
      <c r="F76" s="3" t="s">
        <v>114</v>
      </c>
      <c r="G76" s="5">
        <v>85.0</v>
      </c>
      <c r="H76" s="5">
        <v>940.0</v>
      </c>
      <c r="I76" s="5">
        <v>72.0</v>
      </c>
      <c r="J76" s="3" t="s">
        <v>22</v>
      </c>
      <c r="K76" s="5">
        <v>65.0</v>
      </c>
      <c r="L76" s="3" t="s">
        <v>141</v>
      </c>
      <c r="M76" s="5">
        <f>+37</f>
        <v>37</v>
      </c>
      <c r="N76" s="5">
        <v>-59.0</v>
      </c>
      <c r="O76" s="5">
        <f>+26</f>
        <v>26</v>
      </c>
      <c r="P76" s="3" t="s">
        <v>452</v>
      </c>
      <c r="Q76" s="3" t="s">
        <v>33</v>
      </c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4" t="s">
        <v>453</v>
      </c>
      <c r="B77" s="3" t="s">
        <v>454</v>
      </c>
      <c r="C77" s="3" t="s">
        <v>455</v>
      </c>
      <c r="D77" s="3" t="s">
        <v>456</v>
      </c>
      <c r="E77" s="5">
        <v>68.0</v>
      </c>
      <c r="F77" s="3" t="s">
        <v>71</v>
      </c>
      <c r="G77" s="5">
        <v>75.0</v>
      </c>
      <c r="H77" s="5">
        <v>460.0</v>
      </c>
      <c r="I77" s="5">
        <v>61.0</v>
      </c>
      <c r="J77" s="3" t="s">
        <v>64</v>
      </c>
      <c r="K77" s="5">
        <v>55.0</v>
      </c>
      <c r="L77" s="3" t="s">
        <v>128</v>
      </c>
      <c r="M77" s="5">
        <f>+31</f>
        <v>31</v>
      </c>
      <c r="N77" s="5">
        <v>-51.0</v>
      </c>
      <c r="O77" s="5">
        <f>+21</f>
        <v>21</v>
      </c>
      <c r="P77" s="3" t="s">
        <v>457</v>
      </c>
      <c r="Q77" s="3" t="s">
        <v>58</v>
      </c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4" t="s">
        <v>458</v>
      </c>
      <c r="B78" s="3" t="s">
        <v>459</v>
      </c>
      <c r="C78" s="3" t="s">
        <v>460</v>
      </c>
      <c r="D78" s="3" t="s">
        <v>461</v>
      </c>
      <c r="E78" s="5">
        <v>80.0</v>
      </c>
      <c r="F78" s="3" t="s">
        <v>29</v>
      </c>
      <c r="G78" s="5">
        <v>86.0</v>
      </c>
      <c r="H78" s="5">
        <v>940.0</v>
      </c>
      <c r="I78" s="5">
        <v>73.0</v>
      </c>
      <c r="J78" s="3" t="s">
        <v>22</v>
      </c>
      <c r="K78" s="5">
        <v>66.0</v>
      </c>
      <c r="L78" s="3" t="s">
        <v>245</v>
      </c>
      <c r="M78" s="5">
        <f>+39</f>
        <v>39</v>
      </c>
      <c r="N78" s="5">
        <v>-60.0</v>
      </c>
      <c r="O78" s="5">
        <f>+27</f>
        <v>27</v>
      </c>
      <c r="P78" s="3" t="s">
        <v>462</v>
      </c>
      <c r="Q78" s="3" t="s">
        <v>50</v>
      </c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4" t="s">
        <v>463</v>
      </c>
      <c r="B79" s="3" t="s">
        <v>464</v>
      </c>
      <c r="C79" s="3" t="s">
        <v>465</v>
      </c>
      <c r="D79" s="3" t="s">
        <v>466</v>
      </c>
      <c r="E79" s="5">
        <v>76.0</v>
      </c>
      <c r="F79" s="3" t="s">
        <v>47</v>
      </c>
      <c r="G79" s="5">
        <v>82.0</v>
      </c>
      <c r="H79" s="5">
        <v>700.0</v>
      </c>
      <c r="I79" s="5">
        <v>68.0</v>
      </c>
      <c r="J79" s="3" t="s">
        <v>38</v>
      </c>
      <c r="K79" s="5">
        <v>61.0</v>
      </c>
      <c r="L79" s="3" t="s">
        <v>134</v>
      </c>
      <c r="M79" s="5">
        <f>+36</f>
        <v>36</v>
      </c>
      <c r="N79" s="5">
        <v>-56.0</v>
      </c>
      <c r="O79" s="5">
        <f>+24</f>
        <v>24</v>
      </c>
      <c r="P79" s="3" t="s">
        <v>467</v>
      </c>
      <c r="Q79" s="3" t="s">
        <v>102</v>
      </c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4" t="s">
        <v>468</v>
      </c>
      <c r="B80" s="3" t="s">
        <v>469</v>
      </c>
      <c r="C80" s="3" t="s">
        <v>470</v>
      </c>
      <c r="D80" s="3" t="s">
        <v>471</v>
      </c>
      <c r="E80" s="5">
        <v>73.0</v>
      </c>
      <c r="F80" s="3" t="s">
        <v>22</v>
      </c>
      <c r="G80" s="5">
        <v>80.0</v>
      </c>
      <c r="H80" s="5">
        <v>640.0</v>
      </c>
      <c r="I80" s="5">
        <v>66.0</v>
      </c>
      <c r="J80" s="3" t="s">
        <v>55</v>
      </c>
      <c r="K80" s="5">
        <v>59.0</v>
      </c>
      <c r="L80" s="3" t="s">
        <v>167</v>
      </c>
      <c r="M80" s="5">
        <f>+35</f>
        <v>35</v>
      </c>
      <c r="N80" s="5">
        <v>-54.0</v>
      </c>
      <c r="O80" s="5">
        <f>+23</f>
        <v>23</v>
      </c>
      <c r="P80" s="3" t="s">
        <v>472</v>
      </c>
      <c r="Q80" s="3" t="s">
        <v>50</v>
      </c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" t="s">
        <v>473</v>
      </c>
      <c r="B81" s="3" t="s">
        <v>474</v>
      </c>
      <c r="C81" s="3" t="s">
        <v>475</v>
      </c>
      <c r="D81" s="3" t="s">
        <v>476</v>
      </c>
      <c r="E81" s="5">
        <v>69.0</v>
      </c>
      <c r="F81" s="3" t="s">
        <v>55</v>
      </c>
      <c r="G81" s="5">
        <v>77.0</v>
      </c>
      <c r="H81" s="5">
        <v>480.0</v>
      </c>
      <c r="I81" s="5">
        <v>62.0</v>
      </c>
      <c r="J81" s="3" t="s">
        <v>64</v>
      </c>
      <c r="K81" s="5">
        <v>55.0</v>
      </c>
      <c r="L81" s="3" t="s">
        <v>128</v>
      </c>
      <c r="M81" s="5">
        <f>+31</f>
        <v>31</v>
      </c>
      <c r="N81" s="5">
        <v>-51.0</v>
      </c>
      <c r="O81" s="5">
        <f>+21</f>
        <v>21</v>
      </c>
      <c r="P81" s="3" t="s">
        <v>477</v>
      </c>
      <c r="Q81" s="3" t="s">
        <v>102</v>
      </c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" t="s">
        <v>478</v>
      </c>
      <c r="B82" s="3" t="s">
        <v>479</v>
      </c>
      <c r="C82" s="3" t="s">
        <v>480</v>
      </c>
      <c r="D82" s="3" t="s">
        <v>481</v>
      </c>
      <c r="E82" s="5">
        <v>72.0</v>
      </c>
      <c r="F82" s="3" t="s">
        <v>38</v>
      </c>
      <c r="G82" s="5">
        <v>79.0</v>
      </c>
      <c r="H82" s="5">
        <v>560.0</v>
      </c>
      <c r="I82" s="5">
        <v>65.0</v>
      </c>
      <c r="J82" s="3" t="s">
        <v>71</v>
      </c>
      <c r="K82" s="5">
        <v>58.0</v>
      </c>
      <c r="L82" s="3" t="s">
        <v>147</v>
      </c>
      <c r="M82" s="5">
        <f>+33</f>
        <v>33</v>
      </c>
      <c r="N82" s="5">
        <v>-52.0</v>
      </c>
      <c r="O82" s="5">
        <f>+22</f>
        <v>22</v>
      </c>
      <c r="P82" s="3" t="s">
        <v>482</v>
      </c>
      <c r="Q82" s="3" t="s">
        <v>102</v>
      </c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" t="s">
        <v>483</v>
      </c>
      <c r="B83" s="3" t="s">
        <v>419</v>
      </c>
      <c r="C83" s="3" t="s">
        <v>484</v>
      </c>
      <c r="D83" s="3" t="s">
        <v>485</v>
      </c>
      <c r="E83" s="5">
        <v>83.0</v>
      </c>
      <c r="F83" s="3" t="s">
        <v>46</v>
      </c>
      <c r="G83" s="5">
        <v>89.0</v>
      </c>
      <c r="H83" s="4">
        <v>1050.0</v>
      </c>
      <c r="I83" s="5">
        <v>76.0</v>
      </c>
      <c r="J83" s="3" t="s">
        <v>47</v>
      </c>
      <c r="K83" s="5">
        <v>68.0</v>
      </c>
      <c r="L83" s="3" t="s">
        <v>161</v>
      </c>
      <c r="M83" s="5">
        <f>+39</f>
        <v>39</v>
      </c>
      <c r="N83" s="5">
        <v>-63.0</v>
      </c>
      <c r="O83" s="5">
        <f>+28</f>
        <v>28</v>
      </c>
      <c r="P83" s="3" t="s">
        <v>486</v>
      </c>
      <c r="Q83" s="3" t="s">
        <v>50</v>
      </c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" t="s">
        <v>487</v>
      </c>
      <c r="B84" s="3" t="s">
        <v>488</v>
      </c>
      <c r="C84" s="3" t="s">
        <v>489</v>
      </c>
      <c r="D84" s="3" t="s">
        <v>490</v>
      </c>
      <c r="E84" s="5">
        <v>78.0</v>
      </c>
      <c r="F84" s="3" t="s">
        <v>37</v>
      </c>
      <c r="G84" s="5">
        <v>85.0</v>
      </c>
      <c r="H84" s="5">
        <v>900.0</v>
      </c>
      <c r="I84" s="5">
        <v>72.0</v>
      </c>
      <c r="J84" s="3" t="s">
        <v>30</v>
      </c>
      <c r="K84" s="5">
        <v>64.0</v>
      </c>
      <c r="L84" s="3" t="s">
        <v>245</v>
      </c>
      <c r="M84" s="5">
        <f>+36</f>
        <v>36</v>
      </c>
      <c r="N84" s="5">
        <v>-60.0</v>
      </c>
      <c r="O84" s="5">
        <f>+26</f>
        <v>26</v>
      </c>
      <c r="P84" s="3" t="s">
        <v>491</v>
      </c>
      <c r="Q84" s="3" t="s">
        <v>33</v>
      </c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" t="s">
        <v>492</v>
      </c>
      <c r="B85" s="3" t="s">
        <v>493</v>
      </c>
      <c r="C85" s="3" t="s">
        <v>494</v>
      </c>
      <c r="D85" s="3" t="s">
        <v>495</v>
      </c>
      <c r="E85" s="5">
        <v>74.0</v>
      </c>
      <c r="F85" s="3" t="s">
        <v>79</v>
      </c>
      <c r="G85" s="5">
        <v>82.0</v>
      </c>
      <c r="H85" s="5">
        <v>700.0</v>
      </c>
      <c r="I85" s="5">
        <v>67.0</v>
      </c>
      <c r="J85" s="3" t="s">
        <v>63</v>
      </c>
      <c r="K85" s="5">
        <v>60.0</v>
      </c>
      <c r="L85" s="3" t="s">
        <v>173</v>
      </c>
      <c r="M85" s="5">
        <f>+32</f>
        <v>32</v>
      </c>
      <c r="N85" s="5">
        <v>-55.0</v>
      </c>
      <c r="O85" s="5">
        <f>+24</f>
        <v>24</v>
      </c>
      <c r="P85" s="3" t="s">
        <v>496</v>
      </c>
      <c r="Q85" s="3" t="s">
        <v>41</v>
      </c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" t="s">
        <v>497</v>
      </c>
      <c r="B86" s="3" t="s">
        <v>498</v>
      </c>
      <c r="C86" s="3" t="s">
        <v>499</v>
      </c>
      <c r="D86" s="3" t="s">
        <v>500</v>
      </c>
      <c r="E86" s="5">
        <v>69.0</v>
      </c>
      <c r="F86" s="3" t="s">
        <v>71</v>
      </c>
      <c r="G86" s="5">
        <v>76.0</v>
      </c>
      <c r="H86" s="5">
        <v>480.0</v>
      </c>
      <c r="I86" s="5">
        <v>61.0</v>
      </c>
      <c r="J86" s="3" t="s">
        <v>64</v>
      </c>
      <c r="K86" s="5">
        <v>55.0</v>
      </c>
      <c r="L86" s="3" t="s">
        <v>147</v>
      </c>
      <c r="M86" s="5">
        <f>+30</f>
        <v>30</v>
      </c>
      <c r="N86" s="5">
        <v>-50.0</v>
      </c>
      <c r="O86" s="5">
        <f>+20</f>
        <v>20</v>
      </c>
      <c r="P86" s="3" t="s">
        <v>501</v>
      </c>
      <c r="Q86" s="3" t="s">
        <v>50</v>
      </c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" t="s">
        <v>502</v>
      </c>
      <c r="B87" s="3" t="s">
        <v>503</v>
      </c>
      <c r="C87" s="3" t="s">
        <v>504</v>
      </c>
      <c r="D87" s="3" t="s">
        <v>505</v>
      </c>
      <c r="E87" s="5">
        <v>81.0</v>
      </c>
      <c r="F87" s="3" t="s">
        <v>160</v>
      </c>
      <c r="G87" s="5">
        <v>87.0</v>
      </c>
      <c r="H87" s="4">
        <v>1000.0</v>
      </c>
      <c r="I87" s="5">
        <v>74.0</v>
      </c>
      <c r="J87" s="3" t="s">
        <v>99</v>
      </c>
      <c r="K87" s="5">
        <v>67.0</v>
      </c>
      <c r="L87" s="3" t="s">
        <v>161</v>
      </c>
      <c r="M87" s="5">
        <f>+38</f>
        <v>38</v>
      </c>
      <c r="N87" s="5">
        <v>-61.0</v>
      </c>
      <c r="O87" s="5">
        <f>+27</f>
        <v>27</v>
      </c>
      <c r="P87" s="3" t="s">
        <v>506</v>
      </c>
      <c r="Q87" s="3" t="s">
        <v>50</v>
      </c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" t="s">
        <v>507</v>
      </c>
      <c r="B88" s="3" t="s">
        <v>508</v>
      </c>
      <c r="C88" s="3" t="s">
        <v>509</v>
      </c>
      <c r="D88" s="3" t="s">
        <v>510</v>
      </c>
      <c r="E88" s="5">
        <v>70.0</v>
      </c>
      <c r="F88" s="3" t="s">
        <v>63</v>
      </c>
      <c r="G88" s="5">
        <v>78.0</v>
      </c>
      <c r="H88" s="5">
        <v>520.0</v>
      </c>
      <c r="I88" s="5">
        <v>62.0</v>
      </c>
      <c r="J88" s="3" t="s">
        <v>64</v>
      </c>
      <c r="K88" s="5">
        <v>56.0</v>
      </c>
      <c r="L88" s="3" t="s">
        <v>147</v>
      </c>
      <c r="M88" s="5">
        <f>+33</f>
        <v>33</v>
      </c>
      <c r="N88" s="5">
        <v>-52.0</v>
      </c>
      <c r="O88" s="5">
        <f>+21</f>
        <v>21</v>
      </c>
      <c r="P88" s="3" t="s">
        <v>511</v>
      </c>
      <c r="Q88" s="3" t="s">
        <v>33</v>
      </c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" t="s">
        <v>512</v>
      </c>
      <c r="B89" s="3" t="s">
        <v>513</v>
      </c>
      <c r="C89" s="3" t="s">
        <v>514</v>
      </c>
      <c r="D89" s="3" t="s">
        <v>515</v>
      </c>
      <c r="E89" s="5">
        <v>75.0</v>
      </c>
      <c r="F89" s="3" t="s">
        <v>47</v>
      </c>
      <c r="G89" s="5">
        <v>88.0</v>
      </c>
      <c r="H89" s="5">
        <v>750.0</v>
      </c>
      <c r="I89" s="5">
        <v>70.0</v>
      </c>
      <c r="J89" s="3" t="s">
        <v>38</v>
      </c>
      <c r="K89" s="5">
        <v>62.0</v>
      </c>
      <c r="L89" s="3" t="s">
        <v>196</v>
      </c>
      <c r="M89" s="5">
        <f>+38</f>
        <v>38</v>
      </c>
      <c r="N89" s="5">
        <v>-58.0</v>
      </c>
      <c r="O89" s="5">
        <f>+26</f>
        <v>26</v>
      </c>
      <c r="P89" s="3" t="s">
        <v>516</v>
      </c>
      <c r="Q89" s="3" t="s">
        <v>517</v>
      </c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" t="s">
        <v>518</v>
      </c>
      <c r="B90" s="3" t="s">
        <v>519</v>
      </c>
      <c r="C90" s="3" t="s">
        <v>520</v>
      </c>
      <c r="D90" s="3" t="s">
        <v>521</v>
      </c>
      <c r="E90" s="5">
        <v>80.0</v>
      </c>
      <c r="F90" s="3" t="s">
        <v>29</v>
      </c>
      <c r="G90" s="5">
        <v>86.0</v>
      </c>
      <c r="H90" s="5">
        <v>940.0</v>
      </c>
      <c r="I90" s="5">
        <v>73.0</v>
      </c>
      <c r="J90" s="3" t="s">
        <v>22</v>
      </c>
      <c r="K90" s="5">
        <v>66.0</v>
      </c>
      <c r="L90" s="3" t="s">
        <v>161</v>
      </c>
      <c r="M90" s="5">
        <f>+36</f>
        <v>36</v>
      </c>
      <c r="N90" s="5">
        <v>-60.0</v>
      </c>
      <c r="O90" s="5">
        <f t="shared" ref="O90:O91" si="3">+25</f>
        <v>25</v>
      </c>
      <c r="P90" s="3" t="s">
        <v>522</v>
      </c>
      <c r="Q90" s="3" t="s">
        <v>50</v>
      </c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" t="s">
        <v>523</v>
      </c>
      <c r="B91" s="3" t="s">
        <v>524</v>
      </c>
      <c r="C91" s="3" t="s">
        <v>525</v>
      </c>
      <c r="D91" s="3" t="s">
        <v>526</v>
      </c>
      <c r="E91" s="5">
        <v>77.0</v>
      </c>
      <c r="F91" s="3" t="s">
        <v>244</v>
      </c>
      <c r="G91" s="5">
        <v>83.0</v>
      </c>
      <c r="H91" s="5">
        <v>820.0</v>
      </c>
      <c r="I91" s="5">
        <v>70.0</v>
      </c>
      <c r="J91" s="3" t="s">
        <v>79</v>
      </c>
      <c r="K91" s="5">
        <v>63.0</v>
      </c>
      <c r="L91" s="3" t="s">
        <v>245</v>
      </c>
      <c r="M91" s="5">
        <f>+35</f>
        <v>35</v>
      </c>
      <c r="N91" s="5">
        <v>-57.0</v>
      </c>
      <c r="O91" s="5">
        <f t="shared" si="3"/>
        <v>25</v>
      </c>
      <c r="P91" s="3" t="s">
        <v>527</v>
      </c>
      <c r="Q91" s="3" t="s">
        <v>58</v>
      </c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" t="s">
        <v>528</v>
      </c>
      <c r="B92" s="3" t="s">
        <v>529</v>
      </c>
      <c r="C92" s="3" t="s">
        <v>530</v>
      </c>
      <c r="D92" s="3" t="s">
        <v>531</v>
      </c>
      <c r="E92" s="5">
        <v>74.0</v>
      </c>
      <c r="F92" s="3" t="s">
        <v>99</v>
      </c>
      <c r="G92" s="5">
        <v>81.0</v>
      </c>
      <c r="H92" s="5">
        <v>700.0</v>
      </c>
      <c r="I92" s="5">
        <v>68.0</v>
      </c>
      <c r="J92" s="3" t="s">
        <v>63</v>
      </c>
      <c r="K92" s="5">
        <v>61.0</v>
      </c>
      <c r="L92" s="3" t="s">
        <v>134</v>
      </c>
      <c r="M92" s="5">
        <f>+34</f>
        <v>34</v>
      </c>
      <c r="N92" s="5">
        <v>-55.0</v>
      </c>
      <c r="O92" s="5">
        <f>+24</f>
        <v>24</v>
      </c>
      <c r="P92" s="3" t="s">
        <v>532</v>
      </c>
      <c r="Q92" s="3" t="s">
        <v>50</v>
      </c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" t="s">
        <v>533</v>
      </c>
      <c r="B93" s="3" t="s">
        <v>534</v>
      </c>
      <c r="C93" s="3" t="s">
        <v>535</v>
      </c>
      <c r="D93" s="3" t="s">
        <v>536</v>
      </c>
      <c r="E93" s="5">
        <v>79.0</v>
      </c>
      <c r="F93" s="3" t="s">
        <v>140</v>
      </c>
      <c r="G93" s="5">
        <v>85.0</v>
      </c>
      <c r="H93" s="5">
        <v>900.0</v>
      </c>
      <c r="I93" s="5">
        <v>71.0</v>
      </c>
      <c r="J93" s="3" t="s">
        <v>30</v>
      </c>
      <c r="K93" s="5">
        <v>64.0</v>
      </c>
      <c r="L93" s="3" t="s">
        <v>141</v>
      </c>
      <c r="M93" s="5">
        <f>+36</f>
        <v>36</v>
      </c>
      <c r="N93" s="5">
        <v>-60.0</v>
      </c>
      <c r="O93" s="5">
        <f>+26</f>
        <v>26</v>
      </c>
      <c r="P93" s="3" t="s">
        <v>537</v>
      </c>
      <c r="Q93" s="3" t="s">
        <v>155</v>
      </c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" t="s">
        <v>538</v>
      </c>
      <c r="B94" s="3" t="s">
        <v>539</v>
      </c>
      <c r="C94" s="3" t="s">
        <v>540</v>
      </c>
      <c r="D94" s="3" t="s">
        <v>541</v>
      </c>
      <c r="E94" s="5">
        <v>68.0</v>
      </c>
      <c r="F94" s="3" t="s">
        <v>55</v>
      </c>
      <c r="G94" s="5">
        <v>75.0</v>
      </c>
      <c r="H94" s="5">
        <v>480.0</v>
      </c>
      <c r="I94" s="5">
        <v>61.0</v>
      </c>
      <c r="J94" s="3" t="s">
        <v>64</v>
      </c>
      <c r="K94" s="5">
        <v>55.0</v>
      </c>
      <c r="L94" s="3" t="s">
        <v>128</v>
      </c>
      <c r="M94" s="5">
        <f>+30</f>
        <v>30</v>
      </c>
      <c r="N94" s="5">
        <v>-50.0</v>
      </c>
      <c r="O94" s="5">
        <f>+21</f>
        <v>21</v>
      </c>
      <c r="P94" s="3" t="s">
        <v>542</v>
      </c>
      <c r="Q94" s="3" t="s">
        <v>33</v>
      </c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" t="s">
        <v>543</v>
      </c>
      <c r="B95" s="3" t="s">
        <v>544</v>
      </c>
      <c r="C95" s="3" t="s">
        <v>545</v>
      </c>
      <c r="D95" s="3" t="s">
        <v>546</v>
      </c>
      <c r="E95" s="5">
        <v>83.0</v>
      </c>
      <c r="F95" s="3" t="s">
        <v>46</v>
      </c>
      <c r="G95" s="5">
        <v>89.0</v>
      </c>
      <c r="H95" s="5">
        <v>1050.0</v>
      </c>
      <c r="I95" s="5">
        <v>76.0</v>
      </c>
      <c r="J95" s="3" t="s">
        <v>47</v>
      </c>
      <c r="K95" s="5">
        <v>68.0</v>
      </c>
      <c r="L95" s="3" t="s">
        <v>161</v>
      </c>
      <c r="M95" s="5">
        <f>+39</f>
        <v>39</v>
      </c>
      <c r="N95" s="5">
        <v>-63.0</v>
      </c>
      <c r="O95" s="5">
        <f>+28</f>
        <v>28</v>
      </c>
      <c r="P95" s="3" t="s">
        <v>547</v>
      </c>
      <c r="Q95" s="3" t="s">
        <v>33</v>
      </c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" t="s">
        <v>548</v>
      </c>
      <c r="B96" s="3" t="s">
        <v>549</v>
      </c>
      <c r="C96" s="3" t="s">
        <v>550</v>
      </c>
      <c r="D96" s="3" t="s">
        <v>551</v>
      </c>
      <c r="E96" s="5">
        <v>72.0</v>
      </c>
      <c r="F96" s="3" t="s">
        <v>22</v>
      </c>
      <c r="G96" s="5">
        <v>79.0</v>
      </c>
      <c r="H96" s="5">
        <v>620.0</v>
      </c>
      <c r="I96" s="5">
        <v>65.0</v>
      </c>
      <c r="J96" s="3" t="s">
        <v>55</v>
      </c>
      <c r="K96" s="5">
        <v>59.0</v>
      </c>
      <c r="L96" s="3" t="s">
        <v>173</v>
      </c>
      <c r="M96" s="5">
        <f>+34</f>
        <v>34</v>
      </c>
      <c r="N96" s="5">
        <v>-55.0</v>
      </c>
      <c r="O96" s="5">
        <f>+23</f>
        <v>23</v>
      </c>
      <c r="P96" s="3" t="s">
        <v>552</v>
      </c>
      <c r="Q96" s="3" t="s">
        <v>33</v>
      </c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4" t="s">
        <v>553</v>
      </c>
      <c r="B97" s="3" t="s">
        <v>554</v>
      </c>
      <c r="C97" s="3" t="s">
        <v>555</v>
      </c>
      <c r="D97" s="3" t="s">
        <v>556</v>
      </c>
      <c r="E97" s="5">
        <v>82.0</v>
      </c>
      <c r="F97" s="3" t="s">
        <v>46</v>
      </c>
      <c r="G97" s="5">
        <v>88.0</v>
      </c>
      <c r="H97" s="4">
        <v>1050.0</v>
      </c>
      <c r="I97" s="5">
        <v>76.0</v>
      </c>
      <c r="J97" s="3" t="s">
        <v>99</v>
      </c>
      <c r="K97" s="5">
        <v>68.0</v>
      </c>
      <c r="L97" s="3" t="s">
        <v>161</v>
      </c>
      <c r="M97" s="5">
        <f>+38</f>
        <v>38</v>
      </c>
      <c r="N97" s="5">
        <v>-62.0</v>
      </c>
      <c r="O97" s="5">
        <f>+27</f>
        <v>27</v>
      </c>
      <c r="P97" s="3" t="s">
        <v>557</v>
      </c>
      <c r="Q97" s="3" t="s">
        <v>558</v>
      </c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4" t="s">
        <v>559</v>
      </c>
      <c r="B98" s="3" t="s">
        <v>560</v>
      </c>
      <c r="C98" s="3" t="s">
        <v>561</v>
      </c>
      <c r="D98" s="3" t="s">
        <v>562</v>
      </c>
      <c r="E98" s="5">
        <v>66.0</v>
      </c>
      <c r="F98" s="3" t="s">
        <v>64</v>
      </c>
      <c r="G98" s="5">
        <v>74.0</v>
      </c>
      <c r="H98" s="5">
        <v>420.0</v>
      </c>
      <c r="I98" s="5">
        <v>59.0</v>
      </c>
      <c r="J98" s="3" t="s">
        <v>127</v>
      </c>
      <c r="K98" s="5">
        <v>53.0</v>
      </c>
      <c r="L98" s="3" t="s">
        <v>207</v>
      </c>
      <c r="M98" s="5">
        <f>+30</f>
        <v>30</v>
      </c>
      <c r="N98" s="5">
        <v>-50.0</v>
      </c>
      <c r="O98" s="5">
        <f>+19</f>
        <v>19</v>
      </c>
      <c r="P98" s="3" t="s">
        <v>563</v>
      </c>
      <c r="Q98" s="3" t="s">
        <v>33</v>
      </c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4" t="s">
        <v>564</v>
      </c>
      <c r="B99" s="3" t="s">
        <v>565</v>
      </c>
      <c r="C99" s="3" t="s">
        <v>566</v>
      </c>
      <c r="D99" s="3" t="s">
        <v>133</v>
      </c>
      <c r="E99" s="5">
        <v>78.0</v>
      </c>
      <c r="F99" s="3" t="s">
        <v>114</v>
      </c>
      <c r="G99" s="5">
        <v>85.0</v>
      </c>
      <c r="H99" s="5">
        <v>900.0</v>
      </c>
      <c r="I99" s="5">
        <v>72.0</v>
      </c>
      <c r="J99" s="3" t="s">
        <v>22</v>
      </c>
      <c r="K99" s="5">
        <v>65.0</v>
      </c>
      <c r="L99" s="3" t="s">
        <v>141</v>
      </c>
      <c r="M99" s="5">
        <f>+36</f>
        <v>36</v>
      </c>
      <c r="N99" s="5">
        <v>-58.0</v>
      </c>
      <c r="O99" s="5">
        <f>+26</f>
        <v>26</v>
      </c>
      <c r="P99" s="3" t="s">
        <v>567</v>
      </c>
      <c r="Q99" s="3" t="s">
        <v>33</v>
      </c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4" t="s">
        <v>568</v>
      </c>
      <c r="B100" s="3" t="s">
        <v>569</v>
      </c>
      <c r="C100" s="3" t="s">
        <v>570</v>
      </c>
      <c r="D100" s="3" t="s">
        <v>571</v>
      </c>
      <c r="E100" s="5">
        <v>72.0</v>
      </c>
      <c r="F100" s="3" t="s">
        <v>47</v>
      </c>
      <c r="G100" s="5">
        <v>80.0</v>
      </c>
      <c r="H100" s="5">
        <v>700.0</v>
      </c>
      <c r="I100" s="5">
        <v>68.0</v>
      </c>
      <c r="J100" s="3" t="s">
        <v>38</v>
      </c>
      <c r="K100" s="5">
        <v>60.0</v>
      </c>
      <c r="L100" s="3" t="s">
        <v>134</v>
      </c>
      <c r="M100" s="5">
        <f>+38</f>
        <v>38</v>
      </c>
      <c r="N100" s="5">
        <v>-55.0</v>
      </c>
      <c r="O100" s="5">
        <f>+25</f>
        <v>25</v>
      </c>
      <c r="P100" s="3" t="s">
        <v>572</v>
      </c>
      <c r="Q100" s="3" t="s">
        <v>33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" t="s">
        <v>573</v>
      </c>
      <c r="B101" s="3" t="s">
        <v>574</v>
      </c>
      <c r="C101" s="3" t="s">
        <v>575</v>
      </c>
      <c r="D101" s="3" t="s">
        <v>576</v>
      </c>
      <c r="E101" s="5">
        <v>74.0</v>
      </c>
      <c r="F101" s="3" t="s">
        <v>22</v>
      </c>
      <c r="G101" s="5">
        <v>81.0</v>
      </c>
      <c r="H101" s="5">
        <v>700.0</v>
      </c>
      <c r="I101" s="5">
        <v>66.0</v>
      </c>
      <c r="J101" s="3" t="s">
        <v>63</v>
      </c>
      <c r="K101" s="5">
        <v>59.0</v>
      </c>
      <c r="L101" s="3" t="s">
        <v>167</v>
      </c>
      <c r="M101" s="5">
        <f>+35</f>
        <v>35</v>
      </c>
      <c r="N101" s="5">
        <v>-56.0</v>
      </c>
      <c r="O101" s="5">
        <f>+24</f>
        <v>24</v>
      </c>
      <c r="P101" s="3" t="s">
        <v>577</v>
      </c>
      <c r="Q101" s="3" t="s">
        <v>33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" t="s">
        <v>578</v>
      </c>
      <c r="B102" s="3" t="s">
        <v>579</v>
      </c>
      <c r="C102" s="3" t="s">
        <v>580</v>
      </c>
      <c r="D102" s="3" t="s">
        <v>581</v>
      </c>
      <c r="E102" s="5">
        <v>68.0</v>
      </c>
      <c r="F102" s="3" t="s">
        <v>71</v>
      </c>
      <c r="G102" s="5">
        <v>77.0</v>
      </c>
      <c r="H102" s="5">
        <v>500.0</v>
      </c>
      <c r="I102" s="5">
        <v>60.0</v>
      </c>
      <c r="J102" s="3" t="s">
        <v>127</v>
      </c>
      <c r="K102" s="5">
        <v>55.0</v>
      </c>
      <c r="L102" s="3" t="s">
        <v>128</v>
      </c>
      <c r="M102" s="5">
        <f>+32</f>
        <v>32</v>
      </c>
      <c r="N102" s="5">
        <v>-50.0</v>
      </c>
      <c r="O102" s="5">
        <f>+20</f>
        <v>20</v>
      </c>
      <c r="P102" s="3" t="s">
        <v>582</v>
      </c>
      <c r="Q102" s="3" t="s">
        <v>50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" t="s">
        <v>583</v>
      </c>
      <c r="B103" s="3" t="s">
        <v>584</v>
      </c>
      <c r="C103" s="3" t="s">
        <v>585</v>
      </c>
      <c r="D103" s="3" t="s">
        <v>586</v>
      </c>
      <c r="E103" s="5">
        <v>71.0</v>
      </c>
      <c r="F103" s="3" t="s">
        <v>79</v>
      </c>
      <c r="G103" s="5">
        <v>79.0</v>
      </c>
      <c r="H103" s="5">
        <v>600.0</v>
      </c>
      <c r="I103" s="5">
        <v>64.0</v>
      </c>
      <c r="J103" s="3" t="s">
        <v>71</v>
      </c>
      <c r="K103" s="5">
        <v>57.0</v>
      </c>
      <c r="L103" s="3" t="s">
        <v>147</v>
      </c>
      <c r="M103" s="5">
        <f>+34</f>
        <v>34</v>
      </c>
      <c r="N103" s="5">
        <v>-54.0</v>
      </c>
      <c r="O103" s="5">
        <f>+22</f>
        <v>22</v>
      </c>
      <c r="P103" s="3" t="s">
        <v>587</v>
      </c>
      <c r="Q103" s="3" t="s">
        <v>41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" t="s">
        <v>588</v>
      </c>
      <c r="B104" s="3" t="s">
        <v>589</v>
      </c>
      <c r="C104" s="3" t="s">
        <v>590</v>
      </c>
      <c r="D104" s="3" t="s">
        <v>591</v>
      </c>
      <c r="E104" s="5">
        <v>77.0</v>
      </c>
      <c r="F104" s="3" t="s">
        <v>244</v>
      </c>
      <c r="G104" s="5">
        <v>84.0</v>
      </c>
      <c r="H104" s="5">
        <v>800.0</v>
      </c>
      <c r="I104" s="5">
        <v>70.0</v>
      </c>
      <c r="J104" s="3" t="s">
        <v>79</v>
      </c>
      <c r="K104" s="5">
        <v>63.0</v>
      </c>
      <c r="L104" s="3" t="s">
        <v>134</v>
      </c>
      <c r="M104" s="5">
        <f>+36</f>
        <v>36</v>
      </c>
      <c r="N104" s="5">
        <v>-57.0</v>
      </c>
      <c r="O104" s="5">
        <f>+25</f>
        <v>25</v>
      </c>
      <c r="P104" s="3" t="s">
        <v>592</v>
      </c>
      <c r="Q104" s="3" t="s">
        <v>33</v>
      </c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" t="s">
        <v>588</v>
      </c>
      <c r="B105" s="3" t="s">
        <v>593</v>
      </c>
      <c r="C105" s="3" t="s">
        <v>594</v>
      </c>
      <c r="D105" s="3" t="s">
        <v>595</v>
      </c>
      <c r="E105" s="5">
        <v>72.0</v>
      </c>
      <c r="F105" s="3" t="s">
        <v>38</v>
      </c>
      <c r="G105" s="5">
        <v>80.0</v>
      </c>
      <c r="H105" s="5">
        <v>620.0</v>
      </c>
      <c r="I105" s="5">
        <v>65.0</v>
      </c>
      <c r="J105" s="3" t="s">
        <v>55</v>
      </c>
      <c r="K105" s="5">
        <v>58.0</v>
      </c>
      <c r="L105" s="3" t="s">
        <v>167</v>
      </c>
      <c r="M105" s="5">
        <f>+35</f>
        <v>35</v>
      </c>
      <c r="N105" s="5">
        <v>-53.0</v>
      </c>
      <c r="O105" s="5">
        <f>+23</f>
        <v>23</v>
      </c>
      <c r="P105" s="3" t="s">
        <v>596</v>
      </c>
      <c r="Q105" s="3" t="s">
        <v>50</v>
      </c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4" t="s">
        <v>597</v>
      </c>
      <c r="B106" s="3" t="s">
        <v>598</v>
      </c>
      <c r="C106" s="3" t="s">
        <v>599</v>
      </c>
      <c r="D106" s="3" t="s">
        <v>600</v>
      </c>
      <c r="E106" s="5">
        <v>76.0</v>
      </c>
      <c r="F106" s="3" t="s">
        <v>37</v>
      </c>
      <c r="G106" s="5">
        <v>83.0</v>
      </c>
      <c r="H106" s="5">
        <v>820.0</v>
      </c>
      <c r="I106" s="5">
        <v>69.0</v>
      </c>
      <c r="J106" s="3" t="s">
        <v>38</v>
      </c>
      <c r="K106" s="5">
        <v>61.0</v>
      </c>
      <c r="L106" s="3" t="s">
        <v>173</v>
      </c>
      <c r="M106" s="5">
        <f>+34</f>
        <v>34</v>
      </c>
      <c r="N106" s="5">
        <v>-56.0</v>
      </c>
      <c r="O106" s="5">
        <f>+24</f>
        <v>24</v>
      </c>
      <c r="P106" s="3" t="s">
        <v>601</v>
      </c>
      <c r="Q106" s="3" t="s">
        <v>50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4" t="s">
        <v>602</v>
      </c>
      <c r="B107" s="3" t="s">
        <v>603</v>
      </c>
      <c r="C107" s="3" t="s">
        <v>604</v>
      </c>
      <c r="D107" s="3" t="s">
        <v>605</v>
      </c>
      <c r="E107" s="5">
        <v>64.0</v>
      </c>
      <c r="F107" s="3" t="s">
        <v>64</v>
      </c>
      <c r="G107" s="5">
        <v>73.0</v>
      </c>
      <c r="H107" s="5">
        <v>420.0</v>
      </c>
      <c r="I107" s="5">
        <v>58.0</v>
      </c>
      <c r="J107" s="3" t="s">
        <v>127</v>
      </c>
      <c r="K107" s="5">
        <v>52.0</v>
      </c>
      <c r="L107" s="3" t="s">
        <v>153</v>
      </c>
      <c r="M107" s="5">
        <f>+28</f>
        <v>28</v>
      </c>
      <c r="N107" s="5">
        <v>-49.0</v>
      </c>
      <c r="O107" s="5">
        <f>+18</f>
        <v>18</v>
      </c>
      <c r="P107" s="3" t="s">
        <v>606</v>
      </c>
      <c r="Q107" s="3" t="s">
        <v>155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4" t="s">
        <v>607</v>
      </c>
      <c r="B108" s="3" t="s">
        <v>608</v>
      </c>
      <c r="C108" s="3" t="s">
        <v>609</v>
      </c>
      <c r="D108" s="3" t="s">
        <v>610</v>
      </c>
      <c r="E108" s="5">
        <v>78.0</v>
      </c>
      <c r="F108" s="3" t="s">
        <v>140</v>
      </c>
      <c r="G108" s="5">
        <v>85.0</v>
      </c>
      <c r="H108" s="5">
        <v>900.0</v>
      </c>
      <c r="I108" s="5">
        <v>71.0</v>
      </c>
      <c r="J108" s="3" t="s">
        <v>30</v>
      </c>
      <c r="K108" s="5">
        <v>64.0</v>
      </c>
      <c r="L108" s="3" t="s">
        <v>245</v>
      </c>
      <c r="M108" s="5">
        <f>+35</f>
        <v>35</v>
      </c>
      <c r="N108" s="5">
        <v>-59.0</v>
      </c>
      <c r="O108" s="5">
        <f t="shared" ref="O108:O109" si="4">+26</f>
        <v>26</v>
      </c>
      <c r="P108" s="3" t="s">
        <v>611</v>
      </c>
      <c r="Q108" s="3" t="s">
        <v>33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4" t="s">
        <v>612</v>
      </c>
      <c r="B109" s="3" t="s">
        <v>613</v>
      </c>
      <c r="C109" s="3" t="s">
        <v>614</v>
      </c>
      <c r="D109" s="3" t="s">
        <v>615</v>
      </c>
      <c r="E109" s="5">
        <v>79.0</v>
      </c>
      <c r="F109" s="3" t="s">
        <v>107</v>
      </c>
      <c r="G109" s="5">
        <v>85.0</v>
      </c>
      <c r="H109" s="5">
        <v>900.0</v>
      </c>
      <c r="I109" s="5">
        <v>72.0</v>
      </c>
      <c r="J109" s="3" t="s">
        <v>30</v>
      </c>
      <c r="K109" s="5">
        <v>64.0</v>
      </c>
      <c r="L109" s="3" t="s">
        <v>245</v>
      </c>
      <c r="M109" s="5">
        <f>+36</f>
        <v>36</v>
      </c>
      <c r="N109" s="5">
        <v>-59.0</v>
      </c>
      <c r="O109" s="5">
        <f t="shared" si="4"/>
        <v>26</v>
      </c>
      <c r="P109" s="3" t="s">
        <v>616</v>
      </c>
      <c r="Q109" s="3" t="s">
        <v>33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4" t="s">
        <v>617</v>
      </c>
      <c r="B110" s="3" t="s">
        <v>618</v>
      </c>
      <c r="C110" s="3" t="s">
        <v>619</v>
      </c>
      <c r="D110" s="3" t="s">
        <v>620</v>
      </c>
      <c r="E110" s="5">
        <v>71.0</v>
      </c>
      <c r="F110" s="3" t="s">
        <v>79</v>
      </c>
      <c r="G110" s="5">
        <v>79.0</v>
      </c>
      <c r="H110" s="5">
        <v>640.0</v>
      </c>
      <c r="I110" s="5">
        <v>65.0</v>
      </c>
      <c r="J110" s="3" t="s">
        <v>55</v>
      </c>
      <c r="K110" s="5">
        <v>58.0</v>
      </c>
      <c r="L110" s="3" t="s">
        <v>167</v>
      </c>
      <c r="M110" s="5">
        <f>+34</f>
        <v>34</v>
      </c>
      <c r="N110" s="5">
        <v>-54.0</v>
      </c>
      <c r="O110" s="5">
        <f>+23</f>
        <v>23</v>
      </c>
      <c r="P110" s="3" t="s">
        <v>621</v>
      </c>
      <c r="Q110" s="3" t="s">
        <v>50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4" t="s">
        <v>622</v>
      </c>
      <c r="B111" s="3" t="s">
        <v>623</v>
      </c>
      <c r="C111" s="3" t="s">
        <v>624</v>
      </c>
      <c r="D111" s="3" t="s">
        <v>625</v>
      </c>
      <c r="E111" s="5">
        <v>74.0</v>
      </c>
      <c r="F111" s="3" t="s">
        <v>99</v>
      </c>
      <c r="G111" s="5">
        <v>82.0</v>
      </c>
      <c r="H111" s="5">
        <v>720.0</v>
      </c>
      <c r="I111" s="5">
        <v>68.0</v>
      </c>
      <c r="J111" s="3" t="s">
        <v>38</v>
      </c>
      <c r="K111" s="5">
        <v>61.0</v>
      </c>
      <c r="L111" s="3" t="s">
        <v>134</v>
      </c>
      <c r="M111" s="5">
        <f>+35</f>
        <v>35</v>
      </c>
      <c r="N111" s="5">
        <v>-56.0</v>
      </c>
      <c r="O111" s="5">
        <f>+25</f>
        <v>25</v>
      </c>
      <c r="P111" s="3" t="s">
        <v>626</v>
      </c>
      <c r="Q111" s="3" t="s">
        <v>58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4" t="s">
        <v>627</v>
      </c>
      <c r="B112" s="3" t="s">
        <v>628</v>
      </c>
      <c r="C112" s="3" t="s">
        <v>629</v>
      </c>
      <c r="D112" s="3" t="s">
        <v>630</v>
      </c>
      <c r="E112" s="5">
        <v>70.0</v>
      </c>
      <c r="F112" s="3" t="s">
        <v>38</v>
      </c>
      <c r="G112" s="5">
        <v>78.0</v>
      </c>
      <c r="H112" s="5">
        <v>600.0</v>
      </c>
      <c r="I112" s="5">
        <v>63.0</v>
      </c>
      <c r="J112" s="3" t="s">
        <v>71</v>
      </c>
      <c r="K112" s="5">
        <v>56.0</v>
      </c>
      <c r="L112" s="3" t="s">
        <v>147</v>
      </c>
      <c r="M112" s="5">
        <f>+33</f>
        <v>33</v>
      </c>
      <c r="N112" s="5">
        <v>-52.0</v>
      </c>
      <c r="O112" s="5">
        <f>+22</f>
        <v>22</v>
      </c>
      <c r="P112" s="3" t="s">
        <v>631</v>
      </c>
      <c r="Q112" s="3" t="s">
        <v>50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4" t="s">
        <v>632</v>
      </c>
      <c r="B113" s="3" t="s">
        <v>633</v>
      </c>
      <c r="C113" s="3" t="s">
        <v>634</v>
      </c>
      <c r="D113" s="3" t="s">
        <v>635</v>
      </c>
      <c r="E113" s="5">
        <v>73.0</v>
      </c>
      <c r="F113" s="3" t="s">
        <v>22</v>
      </c>
      <c r="G113" s="5">
        <v>80.0</v>
      </c>
      <c r="H113" s="5">
        <v>680.0</v>
      </c>
      <c r="I113" s="5">
        <v>66.0</v>
      </c>
      <c r="J113" s="3" t="s">
        <v>55</v>
      </c>
      <c r="K113" s="5">
        <v>59.0</v>
      </c>
      <c r="L113" s="3" t="s">
        <v>167</v>
      </c>
      <c r="M113" s="5">
        <f>+34</f>
        <v>34</v>
      </c>
      <c r="N113" s="5">
        <v>-55.0</v>
      </c>
      <c r="O113" s="5">
        <f>+24</f>
        <v>24</v>
      </c>
      <c r="P113" s="3" t="s">
        <v>636</v>
      </c>
      <c r="Q113" s="3" t="s">
        <v>58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4" t="s">
        <v>637</v>
      </c>
      <c r="B114" s="3" t="s">
        <v>638</v>
      </c>
      <c r="C114" s="3" t="s">
        <v>639</v>
      </c>
      <c r="D114" s="3" t="s">
        <v>640</v>
      </c>
      <c r="E114" s="5">
        <v>82.0</v>
      </c>
      <c r="F114" s="3" t="s">
        <v>160</v>
      </c>
      <c r="G114" s="5">
        <v>88.0</v>
      </c>
      <c r="H114" s="5">
        <v>1000.0</v>
      </c>
      <c r="I114" s="5">
        <v>75.0</v>
      </c>
      <c r="J114" s="3" t="s">
        <v>99</v>
      </c>
      <c r="K114" s="5">
        <v>68.0</v>
      </c>
      <c r="L114" s="3" t="s">
        <v>141</v>
      </c>
      <c r="M114" s="5">
        <f>+38</f>
        <v>38</v>
      </c>
      <c r="N114" s="5">
        <v>-61.0</v>
      </c>
      <c r="O114" s="5">
        <f>+27</f>
        <v>27</v>
      </c>
      <c r="P114" s="3" t="s">
        <v>641</v>
      </c>
      <c r="Q114" s="3" t="s">
        <v>50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4" t="s">
        <v>642</v>
      </c>
      <c r="B115" s="3" t="s">
        <v>643</v>
      </c>
      <c r="C115" s="3" t="s">
        <v>644</v>
      </c>
      <c r="D115" s="3" t="s">
        <v>645</v>
      </c>
      <c r="E115" s="5">
        <v>77.0</v>
      </c>
      <c r="F115" s="3" t="s">
        <v>107</v>
      </c>
      <c r="G115" s="5">
        <v>84.0</v>
      </c>
      <c r="H115" s="5">
        <v>850.0</v>
      </c>
      <c r="I115" s="5">
        <v>70.0</v>
      </c>
      <c r="J115" s="3" t="s">
        <v>79</v>
      </c>
      <c r="K115" s="5">
        <v>63.0</v>
      </c>
      <c r="L115" s="3" t="s">
        <v>134</v>
      </c>
      <c r="M115" s="5">
        <f>+36</f>
        <v>36</v>
      </c>
      <c r="N115" s="5">
        <v>-57.0</v>
      </c>
      <c r="O115" s="5">
        <f>+25</f>
        <v>25</v>
      </c>
      <c r="P115" s="3" t="s">
        <v>646</v>
      </c>
      <c r="Q115" s="3" t="s">
        <v>33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4" t="s">
        <v>647</v>
      </c>
      <c r="B116" s="3" t="s">
        <v>648</v>
      </c>
      <c r="C116" s="3" t="s">
        <v>649</v>
      </c>
      <c r="D116" s="3" t="s">
        <v>650</v>
      </c>
      <c r="E116" s="5">
        <v>70.0</v>
      </c>
      <c r="F116" s="3" t="s">
        <v>63</v>
      </c>
      <c r="G116" s="5">
        <v>77.0</v>
      </c>
      <c r="H116" s="5">
        <v>520.0</v>
      </c>
      <c r="I116" s="5">
        <v>62.0</v>
      </c>
      <c r="J116" s="3" t="s">
        <v>64</v>
      </c>
      <c r="K116" s="5">
        <v>56.0</v>
      </c>
      <c r="L116" s="3" t="s">
        <v>147</v>
      </c>
      <c r="M116" s="5">
        <f>+33</f>
        <v>33</v>
      </c>
      <c r="N116" s="5">
        <v>-51.0</v>
      </c>
      <c r="O116" s="5">
        <f>+22</f>
        <v>22</v>
      </c>
      <c r="P116" s="3" t="s">
        <v>651</v>
      </c>
      <c r="Q116" s="3" t="s">
        <v>102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4" t="s">
        <v>652</v>
      </c>
      <c r="B117" s="3" t="s">
        <v>653</v>
      </c>
      <c r="C117" s="3" t="s">
        <v>654</v>
      </c>
      <c r="D117" s="3" t="s">
        <v>655</v>
      </c>
      <c r="E117" s="5">
        <v>71.0</v>
      </c>
      <c r="F117" s="3" t="s">
        <v>79</v>
      </c>
      <c r="G117" s="5">
        <v>79.0</v>
      </c>
      <c r="H117" s="5">
        <v>640.0</v>
      </c>
      <c r="I117" s="5">
        <v>65.0</v>
      </c>
      <c r="J117" s="3" t="s">
        <v>55</v>
      </c>
      <c r="K117" s="5">
        <v>58.0</v>
      </c>
      <c r="L117" s="3" t="s">
        <v>167</v>
      </c>
      <c r="M117" s="5">
        <f>+35</f>
        <v>35</v>
      </c>
      <c r="N117" s="5">
        <v>-53.0</v>
      </c>
      <c r="O117" s="5">
        <f>+23</f>
        <v>23</v>
      </c>
      <c r="P117" s="3" t="s">
        <v>656</v>
      </c>
      <c r="Q117" s="3" t="s">
        <v>50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4" t="s">
        <v>657</v>
      </c>
      <c r="B118" s="3" t="s">
        <v>658</v>
      </c>
      <c r="C118" s="3" t="s">
        <v>659</v>
      </c>
      <c r="D118" s="3" t="s">
        <v>660</v>
      </c>
      <c r="E118" s="5">
        <v>79.0</v>
      </c>
      <c r="F118" s="3" t="s">
        <v>114</v>
      </c>
      <c r="G118" s="5">
        <v>85.0</v>
      </c>
      <c r="H118" s="5">
        <v>920.0</v>
      </c>
      <c r="I118" s="5">
        <v>72.0</v>
      </c>
      <c r="J118" s="3" t="s">
        <v>22</v>
      </c>
      <c r="K118" s="5">
        <v>65.0</v>
      </c>
      <c r="L118" s="3" t="s">
        <v>141</v>
      </c>
      <c r="M118" s="5">
        <f>+40</f>
        <v>40</v>
      </c>
      <c r="N118" s="5">
        <v>-60.0</v>
      </c>
      <c r="O118" s="5">
        <f>+27</f>
        <v>27</v>
      </c>
      <c r="P118" s="3" t="s">
        <v>661</v>
      </c>
      <c r="Q118" s="3" t="s">
        <v>33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4" t="s">
        <v>662</v>
      </c>
      <c r="B119" s="3" t="s">
        <v>663</v>
      </c>
      <c r="C119" s="3" t="s">
        <v>664</v>
      </c>
      <c r="D119" s="3" t="s">
        <v>665</v>
      </c>
      <c r="E119" s="5">
        <v>68.0</v>
      </c>
      <c r="F119" s="3" t="s">
        <v>55</v>
      </c>
      <c r="G119" s="5">
        <v>76.0</v>
      </c>
      <c r="H119" s="5">
        <v>480.0</v>
      </c>
      <c r="I119" s="5">
        <v>60.0</v>
      </c>
      <c r="J119" s="3" t="s">
        <v>64</v>
      </c>
      <c r="K119" s="5">
        <v>55.0</v>
      </c>
      <c r="L119" s="3" t="s">
        <v>128</v>
      </c>
      <c r="M119" s="5">
        <f>+32</f>
        <v>32</v>
      </c>
      <c r="N119" s="5">
        <v>-51.0</v>
      </c>
      <c r="O119" s="5">
        <f>+21</f>
        <v>21</v>
      </c>
      <c r="P119" s="3" t="s">
        <v>666</v>
      </c>
      <c r="Q119" s="3" t="s">
        <v>50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4" t="s">
        <v>667</v>
      </c>
      <c r="B120" s="3" t="s">
        <v>668</v>
      </c>
      <c r="C120" s="3" t="s">
        <v>669</v>
      </c>
      <c r="D120" s="3" t="s">
        <v>670</v>
      </c>
      <c r="E120" s="5">
        <v>72.0</v>
      </c>
      <c r="F120" s="3" t="s">
        <v>38</v>
      </c>
      <c r="G120" s="5">
        <v>80.0</v>
      </c>
      <c r="H120" s="5">
        <v>620.0</v>
      </c>
      <c r="I120" s="5">
        <v>65.0</v>
      </c>
      <c r="J120" s="3" t="s">
        <v>55</v>
      </c>
      <c r="K120" s="5">
        <v>58.0</v>
      </c>
      <c r="L120" s="3" t="s">
        <v>167</v>
      </c>
      <c r="M120" s="5">
        <f>+34</f>
        <v>34</v>
      </c>
      <c r="N120" s="5">
        <v>-53.0</v>
      </c>
      <c r="O120" s="5">
        <f>+23</f>
        <v>23</v>
      </c>
      <c r="P120" s="3" t="s">
        <v>671</v>
      </c>
      <c r="Q120" s="3" t="s">
        <v>58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4" t="s">
        <v>672</v>
      </c>
      <c r="B121" s="3" t="s">
        <v>673</v>
      </c>
      <c r="C121" s="3" t="s">
        <v>674</v>
      </c>
      <c r="D121" s="3" t="s">
        <v>675</v>
      </c>
      <c r="E121" s="5">
        <v>64.0</v>
      </c>
      <c r="F121" s="3" t="s">
        <v>64</v>
      </c>
      <c r="G121" s="5">
        <v>73.0</v>
      </c>
      <c r="H121" s="5">
        <v>420.0</v>
      </c>
      <c r="I121" s="5">
        <v>58.0</v>
      </c>
      <c r="J121" s="3" t="s">
        <v>127</v>
      </c>
      <c r="K121" s="5">
        <v>52.0</v>
      </c>
      <c r="L121" s="3" t="s">
        <v>153</v>
      </c>
      <c r="M121" s="5">
        <f>+28</f>
        <v>28</v>
      </c>
      <c r="N121" s="5">
        <v>-49.0</v>
      </c>
      <c r="O121" s="5">
        <f>+18</f>
        <v>18</v>
      </c>
      <c r="P121" s="3" t="s">
        <v>676</v>
      </c>
      <c r="Q121" s="3" t="s">
        <v>677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4" t="s">
        <v>678</v>
      </c>
      <c r="B122" s="3" t="s">
        <v>679</v>
      </c>
      <c r="C122" s="3" t="s">
        <v>680</v>
      </c>
      <c r="D122" s="3" t="s">
        <v>681</v>
      </c>
      <c r="E122" s="5">
        <v>67.0</v>
      </c>
      <c r="F122" s="3" t="s">
        <v>71</v>
      </c>
      <c r="G122" s="5">
        <v>75.0</v>
      </c>
      <c r="H122" s="5">
        <v>460.0</v>
      </c>
      <c r="I122" s="5">
        <v>60.0</v>
      </c>
      <c r="J122" s="3" t="s">
        <v>64</v>
      </c>
      <c r="K122" s="5">
        <v>54.0</v>
      </c>
      <c r="L122" s="3" t="s">
        <v>207</v>
      </c>
      <c r="M122" s="5">
        <f>+30</f>
        <v>30</v>
      </c>
      <c r="N122" s="5">
        <v>-51.0</v>
      </c>
      <c r="O122" s="5">
        <f>+19</f>
        <v>19</v>
      </c>
      <c r="P122" s="3" t="s">
        <v>682</v>
      </c>
      <c r="Q122" s="3" t="s">
        <v>683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4" t="s">
        <v>684</v>
      </c>
      <c r="B123" s="3" t="s">
        <v>685</v>
      </c>
      <c r="C123" s="3" t="s">
        <v>686</v>
      </c>
      <c r="D123" s="3" t="s">
        <v>687</v>
      </c>
      <c r="E123" s="5">
        <v>77.0</v>
      </c>
      <c r="F123" s="3" t="s">
        <v>244</v>
      </c>
      <c r="G123" s="5">
        <v>83.0</v>
      </c>
      <c r="H123" s="5">
        <v>820.0</v>
      </c>
      <c r="I123" s="5">
        <v>70.0</v>
      </c>
      <c r="J123" s="3" t="s">
        <v>79</v>
      </c>
      <c r="K123" s="5">
        <v>63.0</v>
      </c>
      <c r="L123" s="3" t="s">
        <v>245</v>
      </c>
      <c r="M123" s="5">
        <f>+35</f>
        <v>35</v>
      </c>
      <c r="N123" s="5">
        <v>-57.0</v>
      </c>
      <c r="O123" s="5">
        <f>+25</f>
        <v>25</v>
      </c>
      <c r="P123" s="3" t="s">
        <v>688</v>
      </c>
      <c r="Q123" s="3" t="s">
        <v>33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4" t="s">
        <v>689</v>
      </c>
      <c r="B124" s="3" t="s">
        <v>690</v>
      </c>
      <c r="C124" s="3" t="s">
        <v>691</v>
      </c>
      <c r="D124" s="3" t="s">
        <v>692</v>
      </c>
      <c r="E124" s="5">
        <v>81.0</v>
      </c>
      <c r="F124" s="3" t="s">
        <v>29</v>
      </c>
      <c r="G124" s="5">
        <v>87.0</v>
      </c>
      <c r="H124" s="5">
        <v>1000.0</v>
      </c>
      <c r="I124" s="5">
        <v>74.0</v>
      </c>
      <c r="J124" s="3" t="s">
        <v>99</v>
      </c>
      <c r="K124" s="5">
        <v>67.0</v>
      </c>
      <c r="L124" s="3" t="s">
        <v>266</v>
      </c>
      <c r="M124" s="5">
        <f>+38</f>
        <v>38</v>
      </c>
      <c r="N124" s="5">
        <v>-61.0</v>
      </c>
      <c r="O124" s="5">
        <f>+27</f>
        <v>27</v>
      </c>
      <c r="P124" s="3" t="s">
        <v>693</v>
      </c>
      <c r="Q124" s="3" t="s">
        <v>50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4" t="s">
        <v>694</v>
      </c>
      <c r="B125" s="3" t="s">
        <v>695</v>
      </c>
      <c r="C125" s="3" t="s">
        <v>696</v>
      </c>
      <c r="D125" s="3" t="s">
        <v>697</v>
      </c>
      <c r="E125" s="5">
        <v>70.0</v>
      </c>
      <c r="F125" s="3" t="s">
        <v>55</v>
      </c>
      <c r="G125" s="5">
        <v>78.0</v>
      </c>
      <c r="H125" s="5">
        <v>520.0</v>
      </c>
      <c r="I125" s="5">
        <v>62.0</v>
      </c>
      <c r="J125" s="3" t="s">
        <v>64</v>
      </c>
      <c r="K125" s="5">
        <v>56.0</v>
      </c>
      <c r="L125" s="3" t="s">
        <v>147</v>
      </c>
      <c r="M125" s="5">
        <f>+32</f>
        <v>32</v>
      </c>
      <c r="N125" s="5">
        <v>-51.0</v>
      </c>
      <c r="O125" s="5">
        <f>+21</f>
        <v>21</v>
      </c>
      <c r="P125" s="3" t="s">
        <v>698</v>
      </c>
      <c r="Q125" s="3" t="s">
        <v>50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4" t="s">
        <v>699</v>
      </c>
      <c r="B126" s="3" t="s">
        <v>700</v>
      </c>
      <c r="C126" s="3" t="s">
        <v>701</v>
      </c>
      <c r="D126" s="3" t="s">
        <v>702</v>
      </c>
      <c r="E126" s="5">
        <v>80.0</v>
      </c>
      <c r="F126" s="3" t="s">
        <v>160</v>
      </c>
      <c r="G126" s="5">
        <v>86.0</v>
      </c>
      <c r="H126" s="5">
        <v>950.0</v>
      </c>
      <c r="I126" s="5">
        <v>72.0</v>
      </c>
      <c r="J126" s="3" t="s">
        <v>22</v>
      </c>
      <c r="K126" s="5">
        <v>65.0</v>
      </c>
      <c r="L126" s="3" t="s">
        <v>141</v>
      </c>
      <c r="M126" s="5">
        <f>+36</f>
        <v>36</v>
      </c>
      <c r="N126" s="5">
        <v>-60.0</v>
      </c>
      <c r="O126" s="5">
        <f>+26</f>
        <v>26</v>
      </c>
      <c r="P126" s="3" t="s">
        <v>703</v>
      </c>
      <c r="Q126" s="3" t="s">
        <v>50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4" t="s">
        <v>704</v>
      </c>
      <c r="B127" s="3" t="s">
        <v>705</v>
      </c>
      <c r="C127" s="3" t="s">
        <v>706</v>
      </c>
      <c r="D127" s="3" t="s">
        <v>707</v>
      </c>
      <c r="E127" s="5">
        <v>69.0</v>
      </c>
      <c r="F127" s="3" t="s">
        <v>55</v>
      </c>
      <c r="G127" s="5">
        <v>76.0</v>
      </c>
      <c r="H127" s="5">
        <v>480.0</v>
      </c>
      <c r="I127" s="5">
        <v>61.0</v>
      </c>
      <c r="J127" s="3" t="s">
        <v>64</v>
      </c>
      <c r="K127" s="5">
        <v>55.0</v>
      </c>
      <c r="L127" s="3" t="s">
        <v>128</v>
      </c>
      <c r="M127" s="5">
        <f>+32</f>
        <v>32</v>
      </c>
      <c r="N127" s="5">
        <v>-52.0</v>
      </c>
      <c r="O127" s="5">
        <f>+22</f>
        <v>22</v>
      </c>
      <c r="P127" s="3" t="s">
        <v>708</v>
      </c>
      <c r="Q127" s="3" t="s">
        <v>33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4" t="s">
        <v>709</v>
      </c>
      <c r="B128" s="3" t="s">
        <v>710</v>
      </c>
      <c r="C128" s="3" t="s">
        <v>711</v>
      </c>
      <c r="D128" s="3" t="s">
        <v>712</v>
      </c>
      <c r="E128" s="5">
        <v>72.0</v>
      </c>
      <c r="F128" s="3" t="s">
        <v>38</v>
      </c>
      <c r="G128" s="5">
        <v>80.0</v>
      </c>
      <c r="H128" s="5">
        <v>620.0</v>
      </c>
      <c r="I128" s="5">
        <v>65.0</v>
      </c>
      <c r="J128" s="3" t="s">
        <v>55</v>
      </c>
      <c r="K128" s="5">
        <v>58.0</v>
      </c>
      <c r="L128" s="3" t="s">
        <v>167</v>
      </c>
      <c r="M128" s="5">
        <f>+40</f>
        <v>40</v>
      </c>
      <c r="N128" s="5">
        <v>-55.0</v>
      </c>
      <c r="O128" s="5">
        <f>+24</f>
        <v>24</v>
      </c>
      <c r="P128" s="3" t="s">
        <v>713</v>
      </c>
      <c r="Q128" s="3" t="s">
        <v>58</v>
      </c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4" t="s">
        <v>714</v>
      </c>
      <c r="B129" s="3" t="s">
        <v>715</v>
      </c>
      <c r="C129" s="3" t="s">
        <v>716</v>
      </c>
      <c r="D129" s="3" t="s">
        <v>717</v>
      </c>
      <c r="E129" s="5">
        <v>62.0</v>
      </c>
      <c r="F129" s="3" t="s">
        <v>127</v>
      </c>
      <c r="G129" s="5">
        <v>70.0</v>
      </c>
      <c r="H129" s="5">
        <v>350.0</v>
      </c>
      <c r="I129" s="5">
        <v>56.0</v>
      </c>
      <c r="J129" s="3" t="s">
        <v>72</v>
      </c>
      <c r="K129" s="5">
        <v>52.0</v>
      </c>
      <c r="L129" s="3" t="s">
        <v>153</v>
      </c>
      <c r="M129" s="5">
        <f>+30</f>
        <v>30</v>
      </c>
      <c r="N129" s="5">
        <v>-48.0</v>
      </c>
      <c r="O129" s="5">
        <f>+18</f>
        <v>18</v>
      </c>
      <c r="P129" s="3" t="s">
        <v>718</v>
      </c>
      <c r="Q129" s="3" t="s">
        <v>155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4" t="s">
        <v>719</v>
      </c>
      <c r="B130" s="3" t="s">
        <v>720</v>
      </c>
      <c r="C130" s="3" t="s">
        <v>721</v>
      </c>
      <c r="D130" s="3" t="s">
        <v>722</v>
      </c>
      <c r="E130" s="5">
        <v>73.0</v>
      </c>
      <c r="F130" s="3" t="s">
        <v>22</v>
      </c>
      <c r="G130" s="5">
        <v>80.0</v>
      </c>
      <c r="H130" s="5">
        <v>680.0</v>
      </c>
      <c r="I130" s="5">
        <v>66.0</v>
      </c>
      <c r="J130" s="3" t="s">
        <v>55</v>
      </c>
      <c r="K130" s="5">
        <v>59.0</v>
      </c>
      <c r="L130" s="3" t="s">
        <v>167</v>
      </c>
      <c r="M130" s="5">
        <f>+34</f>
        <v>34</v>
      </c>
      <c r="N130" s="5">
        <v>-55.0</v>
      </c>
      <c r="O130" s="5">
        <f>+23</f>
        <v>23</v>
      </c>
      <c r="P130" s="3" t="s">
        <v>723</v>
      </c>
      <c r="Q130" s="3" t="s">
        <v>50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4" t="s">
        <v>724</v>
      </c>
      <c r="B131" s="3" t="s">
        <v>725</v>
      </c>
      <c r="C131" s="3" t="s">
        <v>726</v>
      </c>
      <c r="D131" s="3" t="s">
        <v>727</v>
      </c>
      <c r="E131" s="5">
        <v>76.0</v>
      </c>
      <c r="F131" s="3" t="s">
        <v>47</v>
      </c>
      <c r="G131" s="5">
        <v>82.0</v>
      </c>
      <c r="H131" s="5">
        <v>720.0</v>
      </c>
      <c r="I131" s="5">
        <v>68.0</v>
      </c>
      <c r="J131" s="3" t="s">
        <v>63</v>
      </c>
      <c r="K131" s="5">
        <v>61.0</v>
      </c>
      <c r="L131" s="3" t="s">
        <v>319</v>
      </c>
      <c r="M131" s="5">
        <f>+36</f>
        <v>36</v>
      </c>
      <c r="N131" s="5">
        <v>-56.0</v>
      </c>
      <c r="O131" s="5">
        <f>+24</f>
        <v>24</v>
      </c>
      <c r="P131" s="3" t="s">
        <v>728</v>
      </c>
      <c r="Q131" s="3" t="s">
        <v>33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4" t="s">
        <v>729</v>
      </c>
      <c r="B132" s="3" t="s">
        <v>730</v>
      </c>
      <c r="C132" s="3" t="s">
        <v>731</v>
      </c>
      <c r="D132" s="3" t="s">
        <v>732</v>
      </c>
      <c r="E132" s="5">
        <v>82.0</v>
      </c>
      <c r="F132" s="3" t="s">
        <v>46</v>
      </c>
      <c r="G132" s="5">
        <v>88.0</v>
      </c>
      <c r="H132" s="4">
        <v>1050.0</v>
      </c>
      <c r="I132" s="5">
        <v>76.0</v>
      </c>
      <c r="J132" s="3" t="s">
        <v>47</v>
      </c>
      <c r="K132" s="5">
        <v>68.0</v>
      </c>
      <c r="L132" s="3" t="s">
        <v>161</v>
      </c>
      <c r="M132" s="5">
        <f>+38</f>
        <v>38</v>
      </c>
      <c r="N132" s="5">
        <v>-62.0</v>
      </c>
      <c r="O132" s="5">
        <f>+27</f>
        <v>27</v>
      </c>
      <c r="P132" s="3" t="s">
        <v>733</v>
      </c>
      <c r="Q132" s="3" t="s">
        <v>50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4" t="s">
        <v>734</v>
      </c>
      <c r="B133" s="3" t="s">
        <v>735</v>
      </c>
      <c r="C133" s="3" t="s">
        <v>736</v>
      </c>
      <c r="D133" s="3" t="s">
        <v>737</v>
      </c>
      <c r="E133" s="5">
        <v>77.0</v>
      </c>
      <c r="F133" s="3" t="s">
        <v>107</v>
      </c>
      <c r="G133" s="5">
        <v>84.0</v>
      </c>
      <c r="H133" s="5">
        <v>850.0</v>
      </c>
      <c r="I133" s="5">
        <v>70.0</v>
      </c>
      <c r="J133" s="3" t="s">
        <v>79</v>
      </c>
      <c r="K133" s="5">
        <v>63.0</v>
      </c>
      <c r="L133" s="3" t="s">
        <v>134</v>
      </c>
      <c r="M133" s="5">
        <f>+36</f>
        <v>36</v>
      </c>
      <c r="N133" s="5">
        <v>-57.0</v>
      </c>
      <c r="O133" s="5">
        <f>+25</f>
        <v>25</v>
      </c>
      <c r="P133" s="3" t="s">
        <v>738</v>
      </c>
      <c r="Q133" s="3" t="s">
        <v>33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4" t="s">
        <v>739</v>
      </c>
      <c r="B134" s="3" t="s">
        <v>740</v>
      </c>
      <c r="C134" s="3" t="s">
        <v>741</v>
      </c>
      <c r="D134" s="3" t="s">
        <v>139</v>
      </c>
      <c r="E134" s="5">
        <v>78.0</v>
      </c>
      <c r="F134" s="3" t="s">
        <v>140</v>
      </c>
      <c r="G134" s="5">
        <v>85.0</v>
      </c>
      <c r="H134" s="5">
        <v>900.0</v>
      </c>
      <c r="I134" s="5">
        <v>72.0</v>
      </c>
      <c r="J134" s="3" t="s">
        <v>30</v>
      </c>
      <c r="K134" s="5">
        <v>64.0</v>
      </c>
      <c r="L134" s="3" t="s">
        <v>141</v>
      </c>
      <c r="M134" s="5">
        <f>+37</f>
        <v>37</v>
      </c>
      <c r="N134" s="5">
        <v>-59.0</v>
      </c>
      <c r="O134" s="5">
        <f>+26</f>
        <v>26</v>
      </c>
      <c r="P134" s="3" t="s">
        <v>742</v>
      </c>
      <c r="Q134" s="3" t="s">
        <v>58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4" t="s">
        <v>743</v>
      </c>
      <c r="B135" s="3" t="s">
        <v>744</v>
      </c>
      <c r="C135" s="3" t="s">
        <v>745</v>
      </c>
      <c r="D135" s="3" t="s">
        <v>746</v>
      </c>
      <c r="E135" s="5">
        <v>69.0</v>
      </c>
      <c r="F135" s="3" t="s">
        <v>55</v>
      </c>
      <c r="G135" s="5">
        <v>77.0</v>
      </c>
      <c r="H135" s="5">
        <v>480.0</v>
      </c>
      <c r="I135" s="5">
        <v>61.0</v>
      </c>
      <c r="J135" s="3" t="s">
        <v>64</v>
      </c>
      <c r="K135" s="5">
        <v>55.0</v>
      </c>
      <c r="L135" s="3" t="s">
        <v>128</v>
      </c>
      <c r="M135" s="5">
        <f>+32</f>
        <v>32</v>
      </c>
      <c r="N135" s="5">
        <v>-51.0</v>
      </c>
      <c r="O135" s="5">
        <f>+21</f>
        <v>21</v>
      </c>
      <c r="P135" s="3" t="s">
        <v>747</v>
      </c>
      <c r="Q135" s="3" t="s">
        <v>50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4" t="s">
        <v>748</v>
      </c>
      <c r="B136" s="3" t="s">
        <v>749</v>
      </c>
      <c r="C136" s="3" t="s">
        <v>750</v>
      </c>
      <c r="D136" s="3" t="s">
        <v>751</v>
      </c>
      <c r="E136" s="5">
        <v>72.0</v>
      </c>
      <c r="F136" s="3" t="s">
        <v>22</v>
      </c>
      <c r="G136" s="5">
        <v>80.0</v>
      </c>
      <c r="H136" s="5">
        <v>640.0</v>
      </c>
      <c r="I136" s="5">
        <v>65.0</v>
      </c>
      <c r="J136" s="3" t="s">
        <v>55</v>
      </c>
      <c r="K136" s="5">
        <v>58.0</v>
      </c>
      <c r="L136" s="3" t="s">
        <v>147</v>
      </c>
      <c r="M136" s="5">
        <f>+34</f>
        <v>34</v>
      </c>
      <c r="N136" s="5">
        <v>-55.0</v>
      </c>
      <c r="O136" s="5">
        <f>+23</f>
        <v>23</v>
      </c>
      <c r="P136" s="3" t="s">
        <v>752</v>
      </c>
      <c r="Q136" s="3" t="s">
        <v>58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4" t="s">
        <v>753</v>
      </c>
      <c r="B137" s="3" t="s">
        <v>754</v>
      </c>
      <c r="C137" s="3" t="s">
        <v>755</v>
      </c>
      <c r="D137" s="3" t="s">
        <v>756</v>
      </c>
      <c r="E137" s="5">
        <v>74.0</v>
      </c>
      <c r="F137" s="3" t="s">
        <v>47</v>
      </c>
      <c r="G137" s="5">
        <v>81.0</v>
      </c>
      <c r="H137" s="5">
        <v>700.0</v>
      </c>
      <c r="I137" s="5">
        <v>67.0</v>
      </c>
      <c r="J137" s="3" t="s">
        <v>63</v>
      </c>
      <c r="K137" s="5">
        <v>60.0</v>
      </c>
      <c r="L137" s="3" t="s">
        <v>179</v>
      </c>
      <c r="M137" s="5">
        <f>+35</f>
        <v>35</v>
      </c>
      <c r="N137" s="5">
        <v>-56.0</v>
      </c>
      <c r="O137" s="5">
        <f>+24</f>
        <v>24</v>
      </c>
      <c r="P137" s="3" t="s">
        <v>757</v>
      </c>
      <c r="Q137" s="3" t="s">
        <v>50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4" t="s">
        <v>758</v>
      </c>
      <c r="B138" s="3" t="s">
        <v>759</v>
      </c>
      <c r="C138" s="3" t="s">
        <v>760</v>
      </c>
      <c r="D138" s="3" t="s">
        <v>761</v>
      </c>
      <c r="E138" s="5">
        <v>65.0</v>
      </c>
      <c r="F138" s="3" t="s">
        <v>64</v>
      </c>
      <c r="G138" s="5">
        <v>74.0</v>
      </c>
      <c r="H138" s="5">
        <v>420.0</v>
      </c>
      <c r="I138" s="5">
        <v>58.0</v>
      </c>
      <c r="J138" s="3" t="s">
        <v>127</v>
      </c>
      <c r="K138" s="5">
        <v>52.0</v>
      </c>
      <c r="L138" s="3" t="s">
        <v>153</v>
      </c>
      <c r="M138" s="5">
        <f>+30</f>
        <v>30</v>
      </c>
      <c r="N138" s="5">
        <v>-50.0</v>
      </c>
      <c r="O138" s="5">
        <f>+19</f>
        <v>19</v>
      </c>
      <c r="P138" s="3" t="s">
        <v>762</v>
      </c>
      <c r="Q138" s="3" t="s">
        <v>155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4" t="s">
        <v>763</v>
      </c>
      <c r="B139" s="3" t="s">
        <v>764</v>
      </c>
      <c r="C139" s="3" t="s">
        <v>765</v>
      </c>
      <c r="D139" s="3" t="s">
        <v>766</v>
      </c>
      <c r="E139" s="5">
        <v>70.0</v>
      </c>
      <c r="F139" s="3" t="s">
        <v>63</v>
      </c>
      <c r="G139" s="5">
        <v>78.0</v>
      </c>
      <c r="H139" s="5">
        <v>520.0</v>
      </c>
      <c r="I139" s="5">
        <v>62.0</v>
      </c>
      <c r="J139" s="3" t="s">
        <v>64</v>
      </c>
      <c r="K139" s="5">
        <v>56.0</v>
      </c>
      <c r="L139" s="3" t="s">
        <v>147</v>
      </c>
      <c r="M139" s="5">
        <f>+33</f>
        <v>33</v>
      </c>
      <c r="N139" s="5">
        <v>-52.0</v>
      </c>
      <c r="O139" s="5">
        <f>+22</f>
        <v>22</v>
      </c>
      <c r="P139" s="3" t="s">
        <v>767</v>
      </c>
      <c r="Q139" s="3" t="s">
        <v>33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4" t="s">
        <v>768</v>
      </c>
      <c r="B140" s="3" t="s">
        <v>769</v>
      </c>
      <c r="C140" s="3" t="s">
        <v>770</v>
      </c>
      <c r="D140" s="3" t="s">
        <v>771</v>
      </c>
      <c r="E140" s="5">
        <v>79.0</v>
      </c>
      <c r="F140" s="3" t="s">
        <v>114</v>
      </c>
      <c r="G140" s="5">
        <v>86.0</v>
      </c>
      <c r="H140" s="5">
        <v>940.0</v>
      </c>
      <c r="I140" s="5">
        <v>72.0</v>
      </c>
      <c r="J140" s="3" t="s">
        <v>22</v>
      </c>
      <c r="K140" s="5">
        <v>65.0</v>
      </c>
      <c r="L140" s="3" t="s">
        <v>141</v>
      </c>
      <c r="M140" s="5">
        <f>+37</f>
        <v>37</v>
      </c>
      <c r="N140" s="5">
        <v>-59.0</v>
      </c>
      <c r="O140" s="5">
        <f>+26</f>
        <v>26</v>
      </c>
      <c r="P140" s="3" t="s">
        <v>772</v>
      </c>
      <c r="Q140" s="3" t="s">
        <v>50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4" t="s">
        <v>773</v>
      </c>
      <c r="B141" s="3" t="s">
        <v>774</v>
      </c>
      <c r="C141" s="3" t="s">
        <v>775</v>
      </c>
      <c r="D141" s="3" t="s">
        <v>776</v>
      </c>
      <c r="E141" s="5">
        <v>71.0</v>
      </c>
      <c r="F141" s="3" t="s">
        <v>79</v>
      </c>
      <c r="G141" s="5">
        <v>79.0</v>
      </c>
      <c r="H141" s="5">
        <v>620.0</v>
      </c>
      <c r="I141" s="5">
        <v>65.0</v>
      </c>
      <c r="J141" s="3" t="s">
        <v>55</v>
      </c>
      <c r="K141" s="5">
        <v>58.0</v>
      </c>
      <c r="L141" s="3" t="s">
        <v>179</v>
      </c>
      <c r="M141" s="5">
        <f>+34</f>
        <v>34</v>
      </c>
      <c r="N141" s="5">
        <v>-53.0</v>
      </c>
      <c r="O141" s="5">
        <f>+23</f>
        <v>23</v>
      </c>
      <c r="P141" s="3" t="s">
        <v>777</v>
      </c>
      <c r="Q141" s="3" t="s">
        <v>33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4" t="s">
        <v>778</v>
      </c>
      <c r="B142" s="3" t="s">
        <v>779</v>
      </c>
      <c r="C142" s="3" t="s">
        <v>780</v>
      </c>
      <c r="D142" s="3" t="s">
        <v>781</v>
      </c>
      <c r="E142" s="5">
        <v>75.0</v>
      </c>
      <c r="F142" s="3" t="s">
        <v>47</v>
      </c>
      <c r="G142" s="5">
        <v>82.0</v>
      </c>
      <c r="H142" s="5">
        <v>720.0</v>
      </c>
      <c r="I142" s="5">
        <v>68.0</v>
      </c>
      <c r="J142" s="3" t="s">
        <v>38</v>
      </c>
      <c r="K142" s="5">
        <v>61.0</v>
      </c>
      <c r="L142" s="3" t="s">
        <v>173</v>
      </c>
      <c r="M142" s="5">
        <f>+36</f>
        <v>36</v>
      </c>
      <c r="N142" s="5">
        <v>-55.0</v>
      </c>
      <c r="O142" s="5">
        <f>+24</f>
        <v>24</v>
      </c>
      <c r="P142" s="3" t="s">
        <v>782</v>
      </c>
      <c r="Q142" s="3" t="s">
        <v>50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4" t="s">
        <v>783</v>
      </c>
      <c r="B143" s="3" t="s">
        <v>784</v>
      </c>
      <c r="C143" s="3" t="s">
        <v>785</v>
      </c>
      <c r="D143" s="3" t="s">
        <v>786</v>
      </c>
      <c r="E143" s="5">
        <v>78.0</v>
      </c>
      <c r="F143" s="3" t="s">
        <v>140</v>
      </c>
      <c r="G143" s="5">
        <v>85.0</v>
      </c>
      <c r="H143" s="5">
        <v>900.0</v>
      </c>
      <c r="I143" s="5">
        <v>71.0</v>
      </c>
      <c r="J143" s="3" t="s">
        <v>30</v>
      </c>
      <c r="K143" s="5">
        <v>64.0</v>
      </c>
      <c r="L143" s="3" t="s">
        <v>141</v>
      </c>
      <c r="M143" s="5">
        <f>+38</f>
        <v>38</v>
      </c>
      <c r="N143" s="5">
        <v>-59.0</v>
      </c>
      <c r="O143" s="5">
        <f t="shared" ref="O143:O144" si="5">+26</f>
        <v>26</v>
      </c>
      <c r="P143" s="3" t="s">
        <v>787</v>
      </c>
      <c r="Q143" s="3" t="s">
        <v>58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4" t="s">
        <v>788</v>
      </c>
      <c r="B144" s="3" t="s">
        <v>789</v>
      </c>
      <c r="C144" s="3" t="s">
        <v>790</v>
      </c>
      <c r="D144" s="3" t="s">
        <v>791</v>
      </c>
      <c r="E144" s="5">
        <v>78.0</v>
      </c>
      <c r="F144" s="3" t="s">
        <v>140</v>
      </c>
      <c r="G144" s="5">
        <v>85.0</v>
      </c>
      <c r="H144" s="5">
        <v>900.0</v>
      </c>
      <c r="I144" s="5">
        <v>72.0</v>
      </c>
      <c r="J144" s="3" t="s">
        <v>30</v>
      </c>
      <c r="K144" s="5">
        <v>65.0</v>
      </c>
      <c r="L144" s="3" t="s">
        <v>245</v>
      </c>
      <c r="M144" s="5">
        <f>+37</f>
        <v>37</v>
      </c>
      <c r="N144" s="5">
        <v>-59.0</v>
      </c>
      <c r="O144" s="5">
        <f t="shared" si="5"/>
        <v>26</v>
      </c>
      <c r="P144" s="3" t="s">
        <v>792</v>
      </c>
      <c r="Q144" s="3" t="s">
        <v>33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4" t="s">
        <v>793</v>
      </c>
      <c r="B145" s="3" t="s">
        <v>794</v>
      </c>
      <c r="C145" s="3" t="s">
        <v>795</v>
      </c>
      <c r="D145" s="3" t="s">
        <v>796</v>
      </c>
      <c r="E145" s="5">
        <v>70.0</v>
      </c>
      <c r="F145" s="3" t="s">
        <v>63</v>
      </c>
      <c r="G145" s="5">
        <v>78.0</v>
      </c>
      <c r="H145" s="5">
        <v>520.0</v>
      </c>
      <c r="I145" s="5">
        <v>63.0</v>
      </c>
      <c r="J145" s="3" t="s">
        <v>64</v>
      </c>
      <c r="K145" s="5">
        <v>56.0</v>
      </c>
      <c r="L145" s="3" t="s">
        <v>190</v>
      </c>
      <c r="M145" s="5">
        <f>+34</f>
        <v>34</v>
      </c>
      <c r="N145" s="5">
        <v>-52.0</v>
      </c>
      <c r="O145" s="5">
        <f>+22</f>
        <v>22</v>
      </c>
      <c r="P145" s="3" t="s">
        <v>797</v>
      </c>
      <c r="Q145" s="3" t="s">
        <v>50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4" t="s">
        <v>798</v>
      </c>
      <c r="B146" s="3" t="s">
        <v>799</v>
      </c>
      <c r="C146" s="3" t="s">
        <v>800</v>
      </c>
      <c r="D146" s="3" t="s">
        <v>801</v>
      </c>
      <c r="E146" s="5">
        <v>74.0</v>
      </c>
      <c r="F146" s="3" t="s">
        <v>22</v>
      </c>
      <c r="G146" s="5">
        <v>82.0</v>
      </c>
      <c r="H146" s="5">
        <v>700.0</v>
      </c>
      <c r="I146" s="5">
        <v>67.0</v>
      </c>
      <c r="J146" s="3" t="s">
        <v>63</v>
      </c>
      <c r="K146" s="5">
        <v>60.0</v>
      </c>
      <c r="L146" s="3" t="s">
        <v>167</v>
      </c>
      <c r="M146" s="5">
        <f>+36</f>
        <v>36</v>
      </c>
      <c r="N146" s="5">
        <v>-55.0</v>
      </c>
      <c r="O146" s="5">
        <f>+24</f>
        <v>24</v>
      </c>
      <c r="P146" s="3" t="s">
        <v>802</v>
      </c>
      <c r="Q146" s="3" t="s">
        <v>41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4" t="s">
        <v>803</v>
      </c>
      <c r="B147" s="3" t="s">
        <v>804</v>
      </c>
      <c r="C147" s="3" t="s">
        <v>805</v>
      </c>
      <c r="D147" s="3" t="s">
        <v>806</v>
      </c>
      <c r="E147" s="5">
        <v>69.0</v>
      </c>
      <c r="F147" s="3" t="s">
        <v>55</v>
      </c>
      <c r="G147" s="5">
        <v>76.0</v>
      </c>
      <c r="H147" s="5">
        <v>480.0</v>
      </c>
      <c r="I147" s="5">
        <v>61.0</v>
      </c>
      <c r="J147" s="3" t="s">
        <v>64</v>
      </c>
      <c r="K147" s="5">
        <v>55.0</v>
      </c>
      <c r="L147" s="3" t="s">
        <v>128</v>
      </c>
      <c r="M147" s="5">
        <f>+32</f>
        <v>32</v>
      </c>
      <c r="N147" s="5">
        <v>-52.0</v>
      </c>
      <c r="O147" s="5">
        <f>+21</f>
        <v>21</v>
      </c>
      <c r="P147" s="3" t="s">
        <v>807</v>
      </c>
      <c r="Q147" s="3" t="s">
        <v>33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4" t="s">
        <v>808</v>
      </c>
      <c r="B148" s="3" t="s">
        <v>809</v>
      </c>
      <c r="C148" s="3" t="s">
        <v>810</v>
      </c>
      <c r="D148" s="3" t="s">
        <v>811</v>
      </c>
      <c r="E148" s="5">
        <v>71.0</v>
      </c>
      <c r="F148" s="3" t="s">
        <v>38</v>
      </c>
      <c r="G148" s="5">
        <v>79.0</v>
      </c>
      <c r="H148" s="5">
        <v>620.0</v>
      </c>
      <c r="I148" s="5">
        <v>64.0</v>
      </c>
      <c r="J148" s="3" t="s">
        <v>71</v>
      </c>
      <c r="K148" s="5">
        <v>57.0</v>
      </c>
      <c r="L148" s="3" t="s">
        <v>147</v>
      </c>
      <c r="M148" s="5">
        <f>+34</f>
        <v>34</v>
      </c>
      <c r="N148" s="5">
        <v>-53.0</v>
      </c>
      <c r="O148" s="5">
        <f>+22</f>
        <v>22</v>
      </c>
      <c r="P148" s="3" t="s">
        <v>812</v>
      </c>
      <c r="Q148" s="3" t="s">
        <v>50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4" t="s">
        <v>813</v>
      </c>
      <c r="B149" s="3" t="s">
        <v>814</v>
      </c>
      <c r="C149" s="3" t="s">
        <v>815</v>
      </c>
      <c r="D149" s="3" t="s">
        <v>816</v>
      </c>
      <c r="E149" s="5">
        <v>66.0</v>
      </c>
      <c r="F149" s="3" t="s">
        <v>71</v>
      </c>
      <c r="G149" s="5">
        <v>74.0</v>
      </c>
      <c r="H149" s="5">
        <v>460.0</v>
      </c>
      <c r="I149" s="5">
        <v>59.0</v>
      </c>
      <c r="J149" s="3" t="s">
        <v>127</v>
      </c>
      <c r="K149" s="5">
        <v>53.0</v>
      </c>
      <c r="L149" s="3" t="s">
        <v>207</v>
      </c>
      <c r="M149" s="5">
        <f>+30</f>
        <v>30</v>
      </c>
      <c r="N149" s="5">
        <v>-50.0</v>
      </c>
      <c r="O149" s="5">
        <f>+19</f>
        <v>19</v>
      </c>
      <c r="P149" s="3" t="s">
        <v>817</v>
      </c>
      <c r="Q149" s="3" t="s">
        <v>155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4" t="s">
        <v>818</v>
      </c>
      <c r="B150" s="3" t="s">
        <v>819</v>
      </c>
      <c r="C150" s="3" t="s">
        <v>820</v>
      </c>
      <c r="D150" s="3" t="s">
        <v>821</v>
      </c>
      <c r="E150" s="5">
        <v>70.0</v>
      </c>
      <c r="F150" s="3" t="s">
        <v>63</v>
      </c>
      <c r="G150" s="5">
        <v>77.0</v>
      </c>
      <c r="H150" s="5">
        <v>520.0</v>
      </c>
      <c r="I150" s="5">
        <v>62.0</v>
      </c>
      <c r="J150" s="3" t="s">
        <v>64</v>
      </c>
      <c r="K150" s="5">
        <v>56.0</v>
      </c>
      <c r="L150" s="3" t="s">
        <v>190</v>
      </c>
      <c r="M150" s="5">
        <f>+32</f>
        <v>32</v>
      </c>
      <c r="N150" s="5">
        <v>-51.0</v>
      </c>
      <c r="O150" s="5">
        <f>+21</f>
        <v>21</v>
      </c>
      <c r="P150" s="3" t="s">
        <v>822</v>
      </c>
      <c r="Q150" s="3" t="s">
        <v>50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4" t="s">
        <v>823</v>
      </c>
      <c r="B151" s="3" t="s">
        <v>824</v>
      </c>
      <c r="C151" s="3" t="s">
        <v>825</v>
      </c>
      <c r="D151" s="3" t="s">
        <v>826</v>
      </c>
      <c r="E151" s="5">
        <v>78.0</v>
      </c>
      <c r="F151" s="3" t="s">
        <v>107</v>
      </c>
      <c r="G151" s="5">
        <v>85.0</v>
      </c>
      <c r="H151" s="5">
        <v>900.0</v>
      </c>
      <c r="I151" s="5">
        <v>72.0</v>
      </c>
      <c r="J151" s="3" t="s">
        <v>30</v>
      </c>
      <c r="K151" s="5">
        <v>65.0</v>
      </c>
      <c r="L151" s="3" t="s">
        <v>134</v>
      </c>
      <c r="M151" s="5">
        <f>+36</f>
        <v>36</v>
      </c>
      <c r="N151" s="5">
        <v>-59.0</v>
      </c>
      <c r="O151" s="5">
        <f>+26</f>
        <v>26</v>
      </c>
      <c r="P151" s="3" t="s">
        <v>827</v>
      </c>
      <c r="Q151" s="3" t="s">
        <v>50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4" t="s">
        <v>828</v>
      </c>
      <c r="B152" s="3" t="s">
        <v>829</v>
      </c>
      <c r="C152" s="3" t="s">
        <v>830</v>
      </c>
      <c r="D152" s="3" t="s">
        <v>831</v>
      </c>
      <c r="E152" s="5">
        <v>72.0</v>
      </c>
      <c r="F152" s="3" t="s">
        <v>79</v>
      </c>
      <c r="G152" s="5">
        <v>80.0</v>
      </c>
      <c r="H152" s="5">
        <v>640.0</v>
      </c>
      <c r="I152" s="5">
        <v>65.0</v>
      </c>
      <c r="J152" s="3" t="s">
        <v>55</v>
      </c>
      <c r="K152" s="5">
        <v>58.0</v>
      </c>
      <c r="L152" s="3" t="s">
        <v>167</v>
      </c>
      <c r="M152" s="5">
        <f>+34</f>
        <v>34</v>
      </c>
      <c r="N152" s="5">
        <v>-53.0</v>
      </c>
      <c r="O152" s="5">
        <f>+23</f>
        <v>23</v>
      </c>
      <c r="P152" s="3" t="s">
        <v>832</v>
      </c>
      <c r="Q152" s="3" t="s">
        <v>58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4" t="s">
        <v>833</v>
      </c>
      <c r="B153" s="3" t="s">
        <v>834</v>
      </c>
      <c r="C153" s="3" t="s">
        <v>835</v>
      </c>
      <c r="D153" s="3" t="s">
        <v>836</v>
      </c>
      <c r="E153" s="5">
        <v>69.0</v>
      </c>
      <c r="F153" s="3" t="s">
        <v>55</v>
      </c>
      <c r="G153" s="5">
        <v>76.0</v>
      </c>
      <c r="H153" s="5">
        <v>480.0</v>
      </c>
      <c r="I153" s="5">
        <v>61.0</v>
      </c>
      <c r="J153" s="3" t="s">
        <v>64</v>
      </c>
      <c r="K153" s="5">
        <v>55.0</v>
      </c>
      <c r="L153" s="3" t="s">
        <v>128</v>
      </c>
      <c r="M153" s="5">
        <f>+31</f>
        <v>31</v>
      </c>
      <c r="N153" s="5">
        <v>-51.0</v>
      </c>
      <c r="O153" s="5">
        <f>+21</f>
        <v>21</v>
      </c>
      <c r="P153" s="3" t="s">
        <v>837</v>
      </c>
      <c r="Q153" s="3" t="s">
        <v>50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4" t="s">
        <v>838</v>
      </c>
      <c r="B154" s="3" t="s">
        <v>839</v>
      </c>
      <c r="C154" s="3" t="s">
        <v>840</v>
      </c>
      <c r="D154" s="3" t="s">
        <v>841</v>
      </c>
      <c r="E154" s="5">
        <v>76.0</v>
      </c>
      <c r="F154" s="3" t="s">
        <v>47</v>
      </c>
      <c r="G154" s="5">
        <v>82.0</v>
      </c>
      <c r="H154" s="5">
        <v>700.0</v>
      </c>
      <c r="I154" s="5">
        <v>68.0</v>
      </c>
      <c r="J154" s="3" t="s">
        <v>38</v>
      </c>
      <c r="K154" s="5">
        <v>61.0</v>
      </c>
      <c r="L154" s="3" t="s">
        <v>134</v>
      </c>
      <c r="M154" s="5">
        <f>+36</f>
        <v>36</v>
      </c>
      <c r="N154" s="5">
        <v>-56.0</v>
      </c>
      <c r="O154" s="5">
        <f>+24</f>
        <v>24</v>
      </c>
      <c r="P154" s="3" t="s">
        <v>842</v>
      </c>
      <c r="Q154" s="3" t="s">
        <v>58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4" t="s">
        <v>843</v>
      </c>
      <c r="B155" s="3" t="s">
        <v>844</v>
      </c>
      <c r="C155" s="3" t="s">
        <v>845</v>
      </c>
      <c r="D155" s="3" t="s">
        <v>846</v>
      </c>
      <c r="E155" s="5">
        <v>73.0</v>
      </c>
      <c r="F155" s="3" t="s">
        <v>22</v>
      </c>
      <c r="G155" s="5">
        <v>80.0</v>
      </c>
      <c r="H155" s="5">
        <v>680.0</v>
      </c>
      <c r="I155" s="5">
        <v>66.0</v>
      </c>
      <c r="J155" s="3" t="s">
        <v>55</v>
      </c>
      <c r="K155" s="5">
        <v>59.0</v>
      </c>
      <c r="L155" s="3" t="s">
        <v>167</v>
      </c>
      <c r="M155" s="5">
        <f>+35</f>
        <v>35</v>
      </c>
      <c r="N155" s="5">
        <v>-55.0</v>
      </c>
      <c r="O155" s="5">
        <f>+23</f>
        <v>23</v>
      </c>
      <c r="P155" s="3" t="s">
        <v>847</v>
      </c>
      <c r="Q155" s="3" t="s">
        <v>50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4" t="s">
        <v>848</v>
      </c>
      <c r="B156" s="3" t="s">
        <v>849</v>
      </c>
      <c r="C156" s="3" t="s">
        <v>691</v>
      </c>
      <c r="D156" s="3" t="s">
        <v>692</v>
      </c>
      <c r="E156" s="5">
        <v>81.0</v>
      </c>
      <c r="F156" s="3" t="s">
        <v>29</v>
      </c>
      <c r="G156" s="5">
        <v>87.0</v>
      </c>
      <c r="H156" s="4">
        <v>1000.0</v>
      </c>
      <c r="I156" s="5">
        <v>74.0</v>
      </c>
      <c r="J156" s="3" t="s">
        <v>99</v>
      </c>
      <c r="K156" s="5">
        <v>67.0</v>
      </c>
      <c r="L156" s="3" t="s">
        <v>266</v>
      </c>
      <c r="M156" s="5">
        <f>+38</f>
        <v>38</v>
      </c>
      <c r="N156" s="5">
        <v>-61.0</v>
      </c>
      <c r="O156" s="5">
        <f>+27</f>
        <v>27</v>
      </c>
      <c r="P156" s="3" t="s">
        <v>850</v>
      </c>
      <c r="Q156" s="3" t="s">
        <v>50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4" t="s">
        <v>851</v>
      </c>
      <c r="B157" s="3" t="s">
        <v>852</v>
      </c>
      <c r="C157" s="3" t="s">
        <v>853</v>
      </c>
      <c r="D157" s="3" t="s">
        <v>854</v>
      </c>
      <c r="E157" s="5">
        <v>68.0</v>
      </c>
      <c r="F157" s="3" t="s">
        <v>71</v>
      </c>
      <c r="G157" s="5">
        <v>75.0</v>
      </c>
      <c r="H157" s="5">
        <v>460.0</v>
      </c>
      <c r="I157" s="5">
        <v>60.0</v>
      </c>
      <c r="J157" s="3" t="s">
        <v>127</v>
      </c>
      <c r="K157" s="5">
        <v>54.0</v>
      </c>
      <c r="L157" s="3" t="s">
        <v>207</v>
      </c>
      <c r="M157" s="5">
        <f>+30</f>
        <v>30</v>
      </c>
      <c r="N157" s="5">
        <v>-50.0</v>
      </c>
      <c r="O157" s="5">
        <f>+20</f>
        <v>20</v>
      </c>
      <c r="P157" s="3" t="s">
        <v>855</v>
      </c>
      <c r="Q157" s="3" t="s">
        <v>50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4" t="s">
        <v>856</v>
      </c>
      <c r="B158" s="3" t="s">
        <v>857</v>
      </c>
      <c r="C158" s="3" t="s">
        <v>858</v>
      </c>
      <c r="D158" s="3" t="s">
        <v>859</v>
      </c>
      <c r="E158" s="5">
        <v>72.0</v>
      </c>
      <c r="F158" s="3" t="s">
        <v>22</v>
      </c>
      <c r="G158" s="5">
        <v>79.0</v>
      </c>
      <c r="H158" s="5">
        <v>620.0</v>
      </c>
      <c r="I158" s="5">
        <v>65.0</v>
      </c>
      <c r="J158" s="3" t="s">
        <v>55</v>
      </c>
      <c r="K158" s="5">
        <v>59.0</v>
      </c>
      <c r="L158" s="3" t="s">
        <v>141</v>
      </c>
      <c r="M158" s="5">
        <f>+35</f>
        <v>35</v>
      </c>
      <c r="N158" s="5">
        <v>-55.0</v>
      </c>
      <c r="O158" s="5">
        <f>+23</f>
        <v>23</v>
      </c>
      <c r="P158" s="3" t="s">
        <v>860</v>
      </c>
      <c r="Q158" s="3" t="s">
        <v>58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4" t="s">
        <v>861</v>
      </c>
      <c r="B159" s="3" t="s">
        <v>862</v>
      </c>
      <c r="C159" s="3" t="s">
        <v>590</v>
      </c>
      <c r="D159" s="3" t="s">
        <v>591</v>
      </c>
      <c r="E159" s="5">
        <v>77.0</v>
      </c>
      <c r="F159" s="3" t="s">
        <v>244</v>
      </c>
      <c r="G159" s="5">
        <v>84.0</v>
      </c>
      <c r="H159" s="5">
        <v>800.0</v>
      </c>
      <c r="I159" s="5">
        <v>70.0</v>
      </c>
      <c r="J159" s="3" t="s">
        <v>79</v>
      </c>
      <c r="K159" s="5">
        <v>63.0</v>
      </c>
      <c r="L159" s="3" t="s">
        <v>134</v>
      </c>
      <c r="M159" s="5">
        <f>+36</f>
        <v>36</v>
      </c>
      <c r="N159" s="5">
        <v>-57.0</v>
      </c>
      <c r="O159" s="5">
        <f>+25</f>
        <v>25</v>
      </c>
      <c r="P159" s="3" t="s">
        <v>863</v>
      </c>
      <c r="Q159" s="3" t="s">
        <v>50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4" t="s">
        <v>864</v>
      </c>
      <c r="B160" s="3" t="s">
        <v>865</v>
      </c>
      <c r="C160" s="3" t="s">
        <v>866</v>
      </c>
      <c r="D160" s="3" t="s">
        <v>867</v>
      </c>
      <c r="E160" s="5">
        <v>74.0</v>
      </c>
      <c r="F160" s="3" t="s">
        <v>99</v>
      </c>
      <c r="G160" s="5">
        <v>81.0</v>
      </c>
      <c r="H160" s="5">
        <v>700.0</v>
      </c>
      <c r="I160" s="5">
        <v>66.0</v>
      </c>
      <c r="J160" s="3" t="s">
        <v>63</v>
      </c>
      <c r="K160" s="5">
        <v>59.0</v>
      </c>
      <c r="L160" s="3" t="s">
        <v>167</v>
      </c>
      <c r="M160" s="5">
        <f>+34</f>
        <v>34</v>
      </c>
      <c r="N160" s="5">
        <v>-55.0</v>
      </c>
      <c r="O160" s="5">
        <f>+24</f>
        <v>24</v>
      </c>
      <c r="P160" s="3" t="s">
        <v>868</v>
      </c>
      <c r="Q160" s="3" t="s">
        <v>58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4" t="s">
        <v>869</v>
      </c>
      <c r="B161" s="3" t="s">
        <v>870</v>
      </c>
      <c r="C161" s="3" t="s">
        <v>871</v>
      </c>
      <c r="D161" s="3" t="s">
        <v>872</v>
      </c>
      <c r="E161" s="5">
        <v>70.0</v>
      </c>
      <c r="F161" s="3" t="s">
        <v>63</v>
      </c>
      <c r="G161" s="5">
        <v>78.0</v>
      </c>
      <c r="H161" s="5">
        <v>520.0</v>
      </c>
      <c r="I161" s="5">
        <v>62.0</v>
      </c>
      <c r="J161" s="3" t="s">
        <v>64</v>
      </c>
      <c r="K161" s="5">
        <v>56.0</v>
      </c>
      <c r="L161" s="3" t="s">
        <v>147</v>
      </c>
      <c r="M161" s="5">
        <f>+33</f>
        <v>33</v>
      </c>
      <c r="N161" s="5">
        <v>-52.0</v>
      </c>
      <c r="O161" s="5">
        <f>+22</f>
        <v>22</v>
      </c>
      <c r="P161" s="3" t="s">
        <v>873</v>
      </c>
      <c r="Q161" s="3" t="s">
        <v>50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4" t="s">
        <v>874</v>
      </c>
      <c r="B162" s="3" t="s">
        <v>875</v>
      </c>
      <c r="C162" s="3" t="s">
        <v>876</v>
      </c>
      <c r="D162" s="3" t="s">
        <v>877</v>
      </c>
      <c r="E162" s="5">
        <v>68.0</v>
      </c>
      <c r="F162" s="3" t="s">
        <v>71</v>
      </c>
      <c r="G162" s="5">
        <v>77.0</v>
      </c>
      <c r="H162" s="5">
        <v>500.0</v>
      </c>
      <c r="I162" s="5">
        <v>60.0</v>
      </c>
      <c r="J162" s="3" t="s">
        <v>127</v>
      </c>
      <c r="K162" s="5">
        <v>55.0</v>
      </c>
      <c r="L162" s="3" t="s">
        <v>128</v>
      </c>
      <c r="M162" s="5">
        <f>+32</f>
        <v>32</v>
      </c>
      <c r="N162" s="5">
        <v>-50.0</v>
      </c>
      <c r="O162" s="5">
        <f>+20</f>
        <v>20</v>
      </c>
      <c r="P162" s="3" t="s">
        <v>878</v>
      </c>
      <c r="Q162" s="3" t="s">
        <v>102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4" t="s">
        <v>879</v>
      </c>
      <c r="B163" s="3" t="s">
        <v>880</v>
      </c>
      <c r="C163" s="3" t="s">
        <v>881</v>
      </c>
      <c r="D163" s="3" t="s">
        <v>882</v>
      </c>
      <c r="E163" s="5">
        <v>65.0</v>
      </c>
      <c r="F163" s="3" t="s">
        <v>64</v>
      </c>
      <c r="G163" s="5">
        <v>74.0</v>
      </c>
      <c r="H163" s="5">
        <v>420.0</v>
      </c>
      <c r="I163" s="5">
        <v>58.0</v>
      </c>
      <c r="J163" s="3" t="s">
        <v>127</v>
      </c>
      <c r="K163" s="5">
        <v>52.0</v>
      </c>
      <c r="L163" s="3" t="s">
        <v>153</v>
      </c>
      <c r="M163" s="5">
        <f>+30</f>
        <v>30</v>
      </c>
      <c r="N163" s="5">
        <v>-49.0</v>
      </c>
      <c r="O163" s="5">
        <f>+19</f>
        <v>19</v>
      </c>
      <c r="P163" s="3" t="s">
        <v>883</v>
      </c>
      <c r="Q163" s="3" t="s">
        <v>155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4" t="s">
        <v>884</v>
      </c>
      <c r="B164" s="3" t="s">
        <v>885</v>
      </c>
      <c r="C164" s="3" t="s">
        <v>886</v>
      </c>
      <c r="D164" s="3" t="s">
        <v>887</v>
      </c>
      <c r="E164" s="5">
        <v>72.0</v>
      </c>
      <c r="F164" s="3" t="s">
        <v>79</v>
      </c>
      <c r="G164" s="5">
        <v>80.0</v>
      </c>
      <c r="H164" s="5">
        <v>640.0</v>
      </c>
      <c r="I164" s="5">
        <v>65.0</v>
      </c>
      <c r="J164" s="3" t="s">
        <v>55</v>
      </c>
      <c r="K164" s="5">
        <v>58.0</v>
      </c>
      <c r="L164" s="3" t="s">
        <v>179</v>
      </c>
      <c r="M164" s="5">
        <f>+34</f>
        <v>34</v>
      </c>
      <c r="N164" s="5">
        <v>-53.0</v>
      </c>
      <c r="O164" s="5">
        <f>+23</f>
        <v>23</v>
      </c>
      <c r="P164" s="3" t="s">
        <v>888</v>
      </c>
      <c r="Q164" s="3" t="s">
        <v>50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4" t="s">
        <v>889</v>
      </c>
      <c r="B165" s="3" t="s">
        <v>890</v>
      </c>
      <c r="C165" s="3" t="s">
        <v>891</v>
      </c>
      <c r="D165" s="3" t="s">
        <v>892</v>
      </c>
      <c r="E165" s="5">
        <v>80.0</v>
      </c>
      <c r="F165" s="3" t="s">
        <v>114</v>
      </c>
      <c r="G165" s="5">
        <v>86.0</v>
      </c>
      <c r="H165" s="5">
        <v>940.0</v>
      </c>
      <c r="I165" s="5">
        <v>73.0</v>
      </c>
      <c r="J165" s="3" t="s">
        <v>22</v>
      </c>
      <c r="K165" s="5">
        <v>66.0</v>
      </c>
      <c r="L165" s="3" t="s">
        <v>141</v>
      </c>
      <c r="M165" s="5">
        <f>+37</f>
        <v>37</v>
      </c>
      <c r="N165" s="5">
        <v>-60.0</v>
      </c>
      <c r="O165" s="5">
        <f>+26</f>
        <v>26</v>
      </c>
      <c r="P165" s="3" t="s">
        <v>893</v>
      </c>
      <c r="Q165" s="3" t="s">
        <v>50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4" t="s">
        <v>894</v>
      </c>
      <c r="B166" s="3" t="s">
        <v>895</v>
      </c>
      <c r="C166" s="3" t="s">
        <v>896</v>
      </c>
      <c r="D166" s="3" t="s">
        <v>897</v>
      </c>
      <c r="E166" s="5">
        <v>64.0</v>
      </c>
      <c r="F166" s="3" t="s">
        <v>64</v>
      </c>
      <c r="G166" s="5">
        <v>73.0</v>
      </c>
      <c r="H166" s="5">
        <v>420.0</v>
      </c>
      <c r="I166" s="5">
        <v>58.0</v>
      </c>
      <c r="J166" s="3" t="s">
        <v>127</v>
      </c>
      <c r="K166" s="5">
        <v>52.0</v>
      </c>
      <c r="L166" s="3" t="s">
        <v>153</v>
      </c>
      <c r="M166" s="5">
        <f>+28</f>
        <v>28</v>
      </c>
      <c r="N166" s="5">
        <v>-49.0</v>
      </c>
      <c r="O166" s="5">
        <f>+18</f>
        <v>18</v>
      </c>
      <c r="P166" s="3" t="s">
        <v>898</v>
      </c>
      <c r="Q166" s="3" t="s">
        <v>155</v>
      </c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4" t="s">
        <v>899</v>
      </c>
      <c r="B167" s="3" t="s">
        <v>900</v>
      </c>
      <c r="C167" s="3" t="s">
        <v>901</v>
      </c>
      <c r="D167" s="3" t="s">
        <v>902</v>
      </c>
      <c r="E167" s="5">
        <v>78.0</v>
      </c>
      <c r="F167" s="3" t="s">
        <v>37</v>
      </c>
      <c r="G167" s="5">
        <v>85.0</v>
      </c>
      <c r="H167" s="5">
        <v>900.0</v>
      </c>
      <c r="I167" s="5">
        <v>72.0</v>
      </c>
      <c r="J167" s="3" t="s">
        <v>30</v>
      </c>
      <c r="K167" s="5">
        <v>65.0</v>
      </c>
      <c r="L167" s="3" t="s">
        <v>134</v>
      </c>
      <c r="M167" s="5">
        <f>+36</f>
        <v>36</v>
      </c>
      <c r="N167" s="5">
        <v>-59.0</v>
      </c>
      <c r="O167" s="5">
        <f>+26</f>
        <v>26</v>
      </c>
      <c r="P167" s="3" t="s">
        <v>903</v>
      </c>
      <c r="Q167" s="3" t="s">
        <v>33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4" t="s">
        <v>904</v>
      </c>
      <c r="B168" s="3" t="s">
        <v>905</v>
      </c>
      <c r="C168" s="3" t="s">
        <v>906</v>
      </c>
      <c r="D168" s="3" t="s">
        <v>907</v>
      </c>
      <c r="E168" s="5">
        <v>74.0</v>
      </c>
      <c r="F168" s="3" t="s">
        <v>22</v>
      </c>
      <c r="G168" s="5">
        <v>81.0</v>
      </c>
      <c r="H168" s="5">
        <v>650.0</v>
      </c>
      <c r="I168" s="5">
        <v>66.0</v>
      </c>
      <c r="J168" s="3" t="s">
        <v>63</v>
      </c>
      <c r="K168" s="5">
        <v>59.0</v>
      </c>
      <c r="L168" s="3" t="s">
        <v>245</v>
      </c>
      <c r="M168" s="5">
        <f>+34</f>
        <v>34</v>
      </c>
      <c r="N168" s="5">
        <v>-56.0</v>
      </c>
      <c r="O168" s="5">
        <f>+24</f>
        <v>24</v>
      </c>
      <c r="P168" s="3" t="s">
        <v>908</v>
      </c>
      <c r="Q168" s="3" t="s">
        <v>33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4" t="s">
        <v>909</v>
      </c>
      <c r="B169" s="3" t="s">
        <v>910</v>
      </c>
      <c r="C169" s="3" t="s">
        <v>911</v>
      </c>
      <c r="D169" s="3" t="s">
        <v>912</v>
      </c>
      <c r="E169" s="5">
        <v>68.0</v>
      </c>
      <c r="F169" s="3" t="s">
        <v>71</v>
      </c>
      <c r="G169" s="5">
        <v>76.0</v>
      </c>
      <c r="H169" s="5">
        <v>480.0</v>
      </c>
      <c r="I169" s="5">
        <v>60.0</v>
      </c>
      <c r="J169" s="3" t="s">
        <v>127</v>
      </c>
      <c r="K169" s="5">
        <v>54.0</v>
      </c>
      <c r="L169" s="3" t="s">
        <v>128</v>
      </c>
      <c r="M169" s="5">
        <f>+30</f>
        <v>30</v>
      </c>
      <c r="N169" s="5">
        <v>-50.0</v>
      </c>
      <c r="O169" s="5">
        <f>+20</f>
        <v>20</v>
      </c>
      <c r="P169" s="3" t="s">
        <v>913</v>
      </c>
      <c r="Q169" s="3" t="s">
        <v>155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4" t="s">
        <v>914</v>
      </c>
      <c r="B170" s="3" t="s">
        <v>915</v>
      </c>
      <c r="C170" s="3" t="s">
        <v>916</v>
      </c>
      <c r="D170" s="3" t="s">
        <v>917</v>
      </c>
      <c r="E170" s="5">
        <v>73.0</v>
      </c>
      <c r="F170" s="3" t="s">
        <v>22</v>
      </c>
      <c r="G170" s="5">
        <v>80.0</v>
      </c>
      <c r="H170" s="5">
        <v>640.0</v>
      </c>
      <c r="I170" s="5">
        <v>66.0</v>
      </c>
      <c r="J170" s="3" t="s">
        <v>55</v>
      </c>
      <c r="K170" s="5">
        <v>59.0</v>
      </c>
      <c r="L170" s="3" t="s">
        <v>167</v>
      </c>
      <c r="M170" s="5">
        <f>+35</f>
        <v>35</v>
      </c>
      <c r="N170" s="5">
        <v>-55.0</v>
      </c>
      <c r="O170" s="5">
        <f>+23</f>
        <v>23</v>
      </c>
      <c r="P170" s="3" t="s">
        <v>918</v>
      </c>
      <c r="Q170" s="3" t="s">
        <v>50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4" t="s">
        <v>919</v>
      </c>
      <c r="B171" s="3" t="s">
        <v>920</v>
      </c>
      <c r="C171" s="3" t="s">
        <v>921</v>
      </c>
      <c r="D171" s="3" t="s">
        <v>922</v>
      </c>
      <c r="E171" s="5">
        <v>80.0</v>
      </c>
      <c r="F171" s="3" t="s">
        <v>29</v>
      </c>
      <c r="G171" s="5">
        <v>86.0</v>
      </c>
      <c r="H171" s="5">
        <v>950.0</v>
      </c>
      <c r="I171" s="5">
        <v>73.0</v>
      </c>
      <c r="J171" s="3" t="s">
        <v>22</v>
      </c>
      <c r="K171" s="5">
        <v>66.0</v>
      </c>
      <c r="L171" s="3" t="s">
        <v>141</v>
      </c>
      <c r="M171" s="5">
        <f>+36</f>
        <v>36</v>
      </c>
      <c r="N171" s="5">
        <v>-60.0</v>
      </c>
      <c r="O171" s="5">
        <f>+26</f>
        <v>26</v>
      </c>
      <c r="P171" s="3" t="s">
        <v>923</v>
      </c>
      <c r="Q171" s="3" t="s">
        <v>50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4" t="s">
        <v>924</v>
      </c>
      <c r="B172" s="3" t="s">
        <v>925</v>
      </c>
      <c r="C172" s="3" t="s">
        <v>926</v>
      </c>
      <c r="D172" s="3" t="s">
        <v>927</v>
      </c>
      <c r="E172" s="5">
        <v>70.0</v>
      </c>
      <c r="F172" s="3" t="s">
        <v>63</v>
      </c>
      <c r="G172" s="5">
        <v>78.0</v>
      </c>
      <c r="H172" s="5">
        <v>520.0</v>
      </c>
      <c r="I172" s="5">
        <v>62.0</v>
      </c>
      <c r="J172" s="3" t="s">
        <v>64</v>
      </c>
      <c r="K172" s="5">
        <v>56.0</v>
      </c>
      <c r="L172" s="3" t="s">
        <v>147</v>
      </c>
      <c r="M172" s="5">
        <f>+32</f>
        <v>32</v>
      </c>
      <c r="N172" s="5">
        <v>-52.0</v>
      </c>
      <c r="O172" s="5">
        <f>+22</f>
        <v>22</v>
      </c>
      <c r="P172" s="3" t="s">
        <v>928</v>
      </c>
      <c r="Q172" s="3" t="s">
        <v>58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4" t="s">
        <v>929</v>
      </c>
      <c r="B173" s="3" t="s">
        <v>930</v>
      </c>
      <c r="C173" s="3" t="s">
        <v>931</v>
      </c>
      <c r="D173" s="3" t="s">
        <v>932</v>
      </c>
      <c r="E173" s="5">
        <v>69.0</v>
      </c>
      <c r="F173" s="3" t="s">
        <v>55</v>
      </c>
      <c r="G173" s="5">
        <v>77.0</v>
      </c>
      <c r="H173" s="5">
        <v>500.0</v>
      </c>
      <c r="I173" s="5">
        <v>61.0</v>
      </c>
      <c r="J173" s="3" t="s">
        <v>64</v>
      </c>
      <c r="K173" s="5">
        <v>55.0</v>
      </c>
      <c r="L173" s="3" t="s">
        <v>190</v>
      </c>
      <c r="M173" s="5">
        <f>+31</f>
        <v>31</v>
      </c>
      <c r="N173" s="5">
        <v>-51.0</v>
      </c>
      <c r="O173" s="5">
        <f>+21</f>
        <v>21</v>
      </c>
      <c r="P173" s="3" t="s">
        <v>933</v>
      </c>
      <c r="Q173" s="3" t="s">
        <v>50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4" t="s">
        <v>934</v>
      </c>
      <c r="B174" s="3" t="s">
        <v>935</v>
      </c>
      <c r="C174" s="3" t="s">
        <v>936</v>
      </c>
      <c r="D174" s="3" t="s">
        <v>937</v>
      </c>
      <c r="E174" s="5">
        <v>71.0</v>
      </c>
      <c r="F174" s="3" t="s">
        <v>38</v>
      </c>
      <c r="G174" s="5">
        <v>79.0</v>
      </c>
      <c r="H174" s="5">
        <v>600.0</v>
      </c>
      <c r="I174" s="5">
        <v>64.0</v>
      </c>
      <c r="J174" s="3" t="s">
        <v>71</v>
      </c>
      <c r="K174" s="5">
        <v>57.0</v>
      </c>
      <c r="L174" s="3" t="s">
        <v>938</v>
      </c>
      <c r="M174" s="5">
        <f>+33</f>
        <v>33</v>
      </c>
      <c r="N174" s="5">
        <v>-53.0</v>
      </c>
      <c r="O174" s="5">
        <f>+22</f>
        <v>22</v>
      </c>
      <c r="P174" s="3" t="s">
        <v>939</v>
      </c>
      <c r="Q174" s="3" t="s">
        <v>50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4" t="s">
        <v>940</v>
      </c>
      <c r="B175" s="3" t="s">
        <v>941</v>
      </c>
      <c r="C175" s="3" t="s">
        <v>942</v>
      </c>
      <c r="D175" s="3" t="s">
        <v>943</v>
      </c>
      <c r="E175" s="5">
        <v>66.0</v>
      </c>
      <c r="F175" s="3" t="s">
        <v>64</v>
      </c>
      <c r="G175" s="5">
        <v>74.0</v>
      </c>
      <c r="H175" s="5">
        <v>420.0</v>
      </c>
      <c r="I175" s="5">
        <v>58.0</v>
      </c>
      <c r="J175" s="3" t="s">
        <v>127</v>
      </c>
      <c r="K175" s="5">
        <v>53.0</v>
      </c>
      <c r="L175" s="3" t="s">
        <v>207</v>
      </c>
      <c r="M175" s="5">
        <f>+30</f>
        <v>30</v>
      </c>
      <c r="N175" s="5">
        <v>-50.0</v>
      </c>
      <c r="O175" s="5">
        <f>+19</f>
        <v>19</v>
      </c>
      <c r="P175" s="3" t="s">
        <v>944</v>
      </c>
      <c r="Q175" s="3" t="s">
        <v>58</v>
      </c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4" t="s">
        <v>945</v>
      </c>
      <c r="B176" s="3" t="s">
        <v>946</v>
      </c>
      <c r="C176" s="3" t="s">
        <v>84</v>
      </c>
      <c r="D176" s="3" t="s">
        <v>947</v>
      </c>
      <c r="E176" s="5">
        <v>77.0</v>
      </c>
      <c r="F176" s="3" t="s">
        <v>107</v>
      </c>
      <c r="G176" s="5">
        <v>84.0</v>
      </c>
      <c r="H176" s="5">
        <v>850.0</v>
      </c>
      <c r="I176" s="5">
        <v>70.0</v>
      </c>
      <c r="J176" s="3" t="s">
        <v>79</v>
      </c>
      <c r="K176" s="5">
        <v>63.0</v>
      </c>
      <c r="L176" s="3" t="s">
        <v>134</v>
      </c>
      <c r="M176" s="5">
        <f>+36</f>
        <v>36</v>
      </c>
      <c r="N176" s="5">
        <v>-57.0</v>
      </c>
      <c r="O176" s="5">
        <f>+25</f>
        <v>25</v>
      </c>
      <c r="P176" s="3" t="s">
        <v>948</v>
      </c>
      <c r="Q176" s="3" t="s">
        <v>50</v>
      </c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4" t="s">
        <v>949</v>
      </c>
      <c r="B177" s="3" t="s">
        <v>950</v>
      </c>
      <c r="C177" s="3" t="s">
        <v>951</v>
      </c>
      <c r="D177" s="3" t="s">
        <v>952</v>
      </c>
      <c r="E177" s="5">
        <v>74.0</v>
      </c>
      <c r="F177" s="3" t="s">
        <v>99</v>
      </c>
      <c r="G177" s="5">
        <v>81.0</v>
      </c>
      <c r="H177" s="5">
        <v>700.0</v>
      </c>
      <c r="I177" s="5">
        <v>67.0</v>
      </c>
      <c r="J177" s="3" t="s">
        <v>63</v>
      </c>
      <c r="K177" s="5">
        <v>60.0</v>
      </c>
      <c r="L177" s="3" t="s">
        <v>167</v>
      </c>
      <c r="M177" s="5">
        <f>+34</f>
        <v>34</v>
      </c>
      <c r="N177" s="5">
        <v>-56.0</v>
      </c>
      <c r="O177" s="5">
        <f>+24</f>
        <v>24</v>
      </c>
      <c r="P177" s="3" t="s">
        <v>953</v>
      </c>
      <c r="Q177" s="3" t="s">
        <v>102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4" t="s">
        <v>954</v>
      </c>
      <c r="B178" s="3" t="s">
        <v>955</v>
      </c>
      <c r="C178" s="3" t="s">
        <v>956</v>
      </c>
      <c r="D178" s="3" t="s">
        <v>957</v>
      </c>
      <c r="E178" s="5">
        <v>72.0</v>
      </c>
      <c r="F178" s="3" t="s">
        <v>79</v>
      </c>
      <c r="G178" s="5">
        <v>80.0</v>
      </c>
      <c r="H178" s="5">
        <v>620.0</v>
      </c>
      <c r="I178" s="5">
        <v>65.0</v>
      </c>
      <c r="J178" s="3" t="s">
        <v>55</v>
      </c>
      <c r="K178" s="5">
        <v>58.0</v>
      </c>
      <c r="L178" s="3" t="s">
        <v>173</v>
      </c>
      <c r="M178" s="5">
        <f>+33</f>
        <v>33</v>
      </c>
      <c r="N178" s="5">
        <v>-55.0</v>
      </c>
      <c r="O178" s="5">
        <f>+23</f>
        <v>23</v>
      </c>
      <c r="P178" s="3" t="s">
        <v>958</v>
      </c>
      <c r="Q178" s="3" t="s">
        <v>58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4" t="s">
        <v>959</v>
      </c>
      <c r="B179" s="3" t="s">
        <v>960</v>
      </c>
      <c r="C179" s="3" t="s">
        <v>805</v>
      </c>
      <c r="D179" s="3" t="s">
        <v>806</v>
      </c>
      <c r="E179" s="5">
        <v>69.0</v>
      </c>
      <c r="F179" s="3" t="s">
        <v>55</v>
      </c>
      <c r="G179" s="5">
        <v>76.0</v>
      </c>
      <c r="H179" s="5">
        <v>480.0</v>
      </c>
      <c r="I179" s="5">
        <v>61.0</v>
      </c>
      <c r="J179" s="3" t="s">
        <v>64</v>
      </c>
      <c r="K179" s="5">
        <v>55.0</v>
      </c>
      <c r="L179" s="3" t="s">
        <v>128</v>
      </c>
      <c r="M179" s="5">
        <f t="shared" ref="M179:M180" si="6">+32</f>
        <v>32</v>
      </c>
      <c r="N179" s="5">
        <v>-52.0</v>
      </c>
      <c r="O179" s="5">
        <f>+21</f>
        <v>21</v>
      </c>
      <c r="P179" s="3" t="s">
        <v>961</v>
      </c>
      <c r="Q179" s="3" t="s">
        <v>50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4" t="s">
        <v>962</v>
      </c>
      <c r="B180" s="3" t="s">
        <v>963</v>
      </c>
      <c r="C180" s="3" t="s">
        <v>964</v>
      </c>
      <c r="D180" s="3" t="s">
        <v>965</v>
      </c>
      <c r="E180" s="5">
        <v>74.0</v>
      </c>
      <c r="F180" s="3" t="s">
        <v>22</v>
      </c>
      <c r="G180" s="5">
        <v>82.0</v>
      </c>
      <c r="H180" s="5">
        <v>700.0</v>
      </c>
      <c r="I180" s="5">
        <v>67.0</v>
      </c>
      <c r="J180" s="3" t="s">
        <v>63</v>
      </c>
      <c r="K180" s="5">
        <v>60.0</v>
      </c>
      <c r="L180" s="3" t="s">
        <v>167</v>
      </c>
      <c r="M180" s="5">
        <f t="shared" si="6"/>
        <v>32</v>
      </c>
      <c r="N180" s="5">
        <v>-55.0</v>
      </c>
      <c r="O180" s="5">
        <f>+23</f>
        <v>23</v>
      </c>
      <c r="P180" s="3" t="s">
        <v>966</v>
      </c>
      <c r="Q180" s="3" t="s">
        <v>558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4" t="s">
        <v>967</v>
      </c>
      <c r="B181" s="3" t="s">
        <v>968</v>
      </c>
      <c r="C181" s="3" t="s">
        <v>969</v>
      </c>
      <c r="D181" s="3" t="s">
        <v>970</v>
      </c>
      <c r="E181" s="5">
        <v>76.0</v>
      </c>
      <c r="F181" s="3" t="s">
        <v>47</v>
      </c>
      <c r="G181" s="5">
        <v>83.0</v>
      </c>
      <c r="H181" s="5">
        <v>740.0</v>
      </c>
      <c r="I181" s="5">
        <v>69.0</v>
      </c>
      <c r="J181" s="3" t="s">
        <v>79</v>
      </c>
      <c r="K181" s="5">
        <v>62.0</v>
      </c>
      <c r="L181" s="3" t="s">
        <v>319</v>
      </c>
      <c r="M181" s="5">
        <f>+36</f>
        <v>36</v>
      </c>
      <c r="N181" s="5">
        <v>-57.0</v>
      </c>
      <c r="O181" s="5">
        <f>+25</f>
        <v>25</v>
      </c>
      <c r="P181" s="3" t="s">
        <v>971</v>
      </c>
      <c r="Q181" s="3" t="s">
        <v>33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4" t="s">
        <v>972</v>
      </c>
      <c r="B182" s="3" t="s">
        <v>973</v>
      </c>
      <c r="C182" s="3" t="s">
        <v>974</v>
      </c>
      <c r="D182" s="3" t="s">
        <v>975</v>
      </c>
      <c r="E182" s="5">
        <v>85.0</v>
      </c>
      <c r="F182" s="3" t="s">
        <v>976</v>
      </c>
      <c r="G182" s="5">
        <v>90.0</v>
      </c>
      <c r="H182" s="4">
        <v>1200.0</v>
      </c>
      <c r="I182" s="5">
        <v>78.0</v>
      </c>
      <c r="J182" s="3" t="s">
        <v>37</v>
      </c>
      <c r="K182" s="5">
        <v>70.0</v>
      </c>
      <c r="L182" s="3" t="s">
        <v>266</v>
      </c>
      <c r="M182" s="5">
        <f>+42</f>
        <v>42</v>
      </c>
      <c r="N182" s="5">
        <v>-65.0</v>
      </c>
      <c r="O182" s="5">
        <f>+29</f>
        <v>29</v>
      </c>
      <c r="P182" s="3" t="s">
        <v>977</v>
      </c>
      <c r="Q182" s="3" t="s">
        <v>94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4" t="s">
        <v>978</v>
      </c>
      <c r="B183" s="3" t="s">
        <v>979</v>
      </c>
      <c r="C183" s="3" t="s">
        <v>980</v>
      </c>
      <c r="D183" s="3" t="s">
        <v>981</v>
      </c>
      <c r="E183" s="5">
        <v>78.0</v>
      </c>
      <c r="F183" s="3" t="s">
        <v>114</v>
      </c>
      <c r="G183" s="5">
        <v>85.0</v>
      </c>
      <c r="H183" s="5">
        <v>900.0</v>
      </c>
      <c r="I183" s="5">
        <v>72.0</v>
      </c>
      <c r="J183" s="3" t="s">
        <v>22</v>
      </c>
      <c r="K183" s="5">
        <v>65.0</v>
      </c>
      <c r="L183" s="3" t="s">
        <v>245</v>
      </c>
      <c r="M183" s="5">
        <f>+35</f>
        <v>35</v>
      </c>
      <c r="N183" s="5">
        <v>-59.0</v>
      </c>
      <c r="O183" s="5">
        <f>+26</f>
        <v>26</v>
      </c>
      <c r="P183" s="3" t="s">
        <v>982</v>
      </c>
      <c r="Q183" s="3" t="s">
        <v>33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4" t="s">
        <v>983</v>
      </c>
      <c r="B184" s="3" t="s">
        <v>984</v>
      </c>
      <c r="C184" s="3" t="s">
        <v>985</v>
      </c>
      <c r="D184" s="3" t="s">
        <v>986</v>
      </c>
      <c r="E184" s="5">
        <v>71.0</v>
      </c>
      <c r="F184" s="3" t="s">
        <v>38</v>
      </c>
      <c r="G184" s="5">
        <v>79.0</v>
      </c>
      <c r="H184" s="5">
        <v>620.0</v>
      </c>
      <c r="I184" s="5">
        <v>64.0</v>
      </c>
      <c r="J184" s="3" t="s">
        <v>71</v>
      </c>
      <c r="K184" s="5">
        <v>57.0</v>
      </c>
      <c r="L184" s="3" t="s">
        <v>147</v>
      </c>
      <c r="M184" s="5">
        <f>+33</f>
        <v>33</v>
      </c>
      <c r="N184" s="5">
        <v>-53.0</v>
      </c>
      <c r="O184" s="5">
        <f>+22</f>
        <v>22</v>
      </c>
      <c r="P184" s="3" t="s">
        <v>987</v>
      </c>
      <c r="Q184" s="3" t="s">
        <v>33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4" t="s">
        <v>988</v>
      </c>
      <c r="B185" s="3" t="s">
        <v>989</v>
      </c>
      <c r="C185" s="3" t="s">
        <v>990</v>
      </c>
      <c r="D185" s="3" t="s">
        <v>991</v>
      </c>
      <c r="E185" s="5">
        <v>74.0</v>
      </c>
      <c r="F185" s="3" t="s">
        <v>22</v>
      </c>
      <c r="G185" s="5">
        <v>81.0</v>
      </c>
      <c r="H185" s="5">
        <v>700.0</v>
      </c>
      <c r="I185" s="5">
        <v>66.0</v>
      </c>
      <c r="J185" s="3" t="s">
        <v>63</v>
      </c>
      <c r="K185" s="5">
        <v>59.0</v>
      </c>
      <c r="L185" s="3" t="s">
        <v>167</v>
      </c>
      <c r="M185" s="5">
        <f>+34</f>
        <v>34</v>
      </c>
      <c r="N185" s="5">
        <v>-56.0</v>
      </c>
      <c r="O185" s="5">
        <f>+23</f>
        <v>23</v>
      </c>
      <c r="P185" s="3" t="s">
        <v>992</v>
      </c>
      <c r="Q185" s="3" t="s">
        <v>155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4" t="s">
        <v>993</v>
      </c>
      <c r="B186" s="3" t="s">
        <v>994</v>
      </c>
      <c r="C186" s="3" t="s">
        <v>995</v>
      </c>
      <c r="D186" s="3" t="s">
        <v>996</v>
      </c>
      <c r="E186" s="5">
        <v>77.0</v>
      </c>
      <c r="F186" s="3" t="s">
        <v>244</v>
      </c>
      <c r="G186" s="5">
        <v>84.0</v>
      </c>
      <c r="H186" s="5">
        <v>820.0</v>
      </c>
      <c r="I186" s="5">
        <v>70.0</v>
      </c>
      <c r="J186" s="3" t="s">
        <v>79</v>
      </c>
      <c r="K186" s="5">
        <v>63.0</v>
      </c>
      <c r="L186" s="3" t="s">
        <v>245</v>
      </c>
      <c r="M186" s="5">
        <f>+36</f>
        <v>36</v>
      </c>
      <c r="N186" s="5">
        <v>-57.0</v>
      </c>
      <c r="O186" s="5">
        <f>+25</f>
        <v>25</v>
      </c>
      <c r="P186" s="3" t="s">
        <v>997</v>
      </c>
      <c r="Q186" s="3" t="s">
        <v>33</v>
      </c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4" t="s">
        <v>998</v>
      </c>
      <c r="B187" s="3" t="s">
        <v>999</v>
      </c>
      <c r="C187" s="3" t="s">
        <v>1000</v>
      </c>
      <c r="D187" s="3" t="s">
        <v>1001</v>
      </c>
      <c r="E187" s="5">
        <v>78.0</v>
      </c>
      <c r="F187" s="3" t="s">
        <v>107</v>
      </c>
      <c r="G187" s="5">
        <v>85.0</v>
      </c>
      <c r="H187" s="5">
        <v>880.0</v>
      </c>
      <c r="I187" s="5">
        <v>71.0</v>
      </c>
      <c r="J187" s="3" t="s">
        <v>30</v>
      </c>
      <c r="K187" s="5">
        <v>64.0</v>
      </c>
      <c r="L187" s="3" t="s">
        <v>1002</v>
      </c>
      <c r="M187" s="5">
        <f>+38</f>
        <v>38</v>
      </c>
      <c r="N187" s="5">
        <v>-58.0</v>
      </c>
      <c r="O187" s="5">
        <f>+26</f>
        <v>26</v>
      </c>
      <c r="P187" s="3" t="s">
        <v>1003</v>
      </c>
      <c r="Q187" s="3" t="s">
        <v>33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4" t="s">
        <v>1004</v>
      </c>
      <c r="B188" s="3" t="s">
        <v>1005</v>
      </c>
      <c r="C188" s="3" t="s">
        <v>1006</v>
      </c>
      <c r="D188" s="3" t="s">
        <v>1007</v>
      </c>
      <c r="E188" s="5">
        <v>69.0</v>
      </c>
      <c r="F188" s="3" t="s">
        <v>55</v>
      </c>
      <c r="G188" s="5">
        <v>76.0</v>
      </c>
      <c r="H188" s="5">
        <v>480.0</v>
      </c>
      <c r="I188" s="5">
        <v>61.0</v>
      </c>
      <c r="J188" s="3" t="s">
        <v>64</v>
      </c>
      <c r="K188" s="5">
        <v>55.0</v>
      </c>
      <c r="L188" s="3" t="s">
        <v>128</v>
      </c>
      <c r="M188" s="5">
        <f>+31</f>
        <v>31</v>
      </c>
      <c r="N188" s="5">
        <v>-52.0</v>
      </c>
      <c r="O188" s="5">
        <f>+21</f>
        <v>21</v>
      </c>
      <c r="P188" s="3" t="s">
        <v>1008</v>
      </c>
      <c r="Q188" s="3" t="s">
        <v>50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4" t="s">
        <v>1009</v>
      </c>
      <c r="B189" s="3" t="s">
        <v>1010</v>
      </c>
      <c r="C189" s="3" t="s">
        <v>1011</v>
      </c>
      <c r="D189" s="3" t="s">
        <v>1012</v>
      </c>
      <c r="E189" s="5">
        <v>73.0</v>
      </c>
      <c r="F189" s="3" t="s">
        <v>22</v>
      </c>
      <c r="G189" s="5">
        <v>81.0</v>
      </c>
      <c r="H189" s="5">
        <v>680.0</v>
      </c>
      <c r="I189" s="5">
        <v>66.0</v>
      </c>
      <c r="J189" s="3" t="s">
        <v>55</v>
      </c>
      <c r="K189" s="5">
        <v>59.0</v>
      </c>
      <c r="L189" s="3" t="s">
        <v>167</v>
      </c>
      <c r="M189" s="5">
        <f>+35</f>
        <v>35</v>
      </c>
      <c r="N189" s="5">
        <v>-55.0</v>
      </c>
      <c r="O189" s="5">
        <f>+24</f>
        <v>24</v>
      </c>
      <c r="P189" s="3" t="s">
        <v>1013</v>
      </c>
      <c r="Q189" s="3" t="s">
        <v>58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4" t="s">
        <v>1014</v>
      </c>
      <c r="B190" s="3" t="s">
        <v>1015</v>
      </c>
      <c r="C190" s="3" t="s">
        <v>1016</v>
      </c>
      <c r="D190" s="3" t="s">
        <v>1017</v>
      </c>
      <c r="E190" s="5">
        <v>70.0</v>
      </c>
      <c r="F190" s="3" t="s">
        <v>63</v>
      </c>
      <c r="G190" s="5">
        <v>78.0</v>
      </c>
      <c r="H190" s="5">
        <v>520.0</v>
      </c>
      <c r="I190" s="5">
        <v>63.0</v>
      </c>
      <c r="J190" s="3" t="s">
        <v>64</v>
      </c>
      <c r="K190" s="5">
        <v>56.0</v>
      </c>
      <c r="L190" s="3" t="s">
        <v>190</v>
      </c>
      <c r="M190" s="5">
        <f>+33</f>
        <v>33</v>
      </c>
      <c r="N190" s="5">
        <v>-52.0</v>
      </c>
      <c r="O190" s="5">
        <f>+22</f>
        <v>22</v>
      </c>
      <c r="P190" s="3" t="s">
        <v>1018</v>
      </c>
      <c r="Q190" s="3" t="s">
        <v>50</v>
      </c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4" t="s">
        <v>1019</v>
      </c>
      <c r="B191" s="3" t="s">
        <v>1020</v>
      </c>
      <c r="C191" s="3" t="s">
        <v>1021</v>
      </c>
      <c r="D191" s="3" t="s">
        <v>1022</v>
      </c>
      <c r="E191" s="5">
        <v>72.0</v>
      </c>
      <c r="F191" s="3" t="s">
        <v>79</v>
      </c>
      <c r="G191" s="5">
        <v>80.0</v>
      </c>
      <c r="H191" s="5">
        <v>640.0</v>
      </c>
      <c r="I191" s="5">
        <v>65.0</v>
      </c>
      <c r="J191" s="3" t="s">
        <v>55</v>
      </c>
      <c r="K191" s="5">
        <v>58.0</v>
      </c>
      <c r="L191" s="3" t="s">
        <v>179</v>
      </c>
      <c r="M191" s="5">
        <f>+34</f>
        <v>34</v>
      </c>
      <c r="N191" s="5">
        <v>-54.0</v>
      </c>
      <c r="O191" s="5">
        <f>+23</f>
        <v>23</v>
      </c>
      <c r="P191" s="3" t="s">
        <v>1023</v>
      </c>
      <c r="Q191" s="3" t="s">
        <v>33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</sheetData>
  <drawing r:id="rId1"/>
</worksheet>
</file>