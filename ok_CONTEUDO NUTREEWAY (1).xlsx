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tos títipos" sheetId="1" r:id="rId5"/>
    <sheet state="visible" name="NOTAS DE PEGADA SUSTENTÁVEL" sheetId="2" r:id="rId6"/>
    <sheet state="visible" name="sobremesas" sheetId="3" r:id="rId7"/>
  </sheets>
  <definedNames/>
  <calcPr/>
</workbook>
</file>

<file path=xl/sharedStrings.xml><?xml version="1.0" encoding="utf-8"?>
<sst xmlns="http://schemas.openxmlformats.org/spreadsheetml/2006/main" count="4359" uniqueCount="3102">
  <si>
    <t>ID</t>
  </si>
  <si>
    <t>pais_de_origem</t>
  </si>
  <si>
    <t>receita_nome</t>
  </si>
  <si>
    <t>descricao</t>
  </si>
  <si>
    <t>ingredientes</t>
  </si>
  <si>
    <t>preparo</t>
  </si>
  <si>
    <t>tag_ingredientes</t>
  </si>
  <si>
    <t>tabelanutricional</t>
  </si>
  <si>
    <t>dicadeouro</t>
  </si>
  <si>
    <t>bandeirinhas</t>
  </si>
  <si>
    <t>imagens</t>
  </si>
  <si>
    <t>Afeganistão</t>
  </si>
  <si>
    <t>Qabili Palaw Vegano com Grão-de-Bico</t>
  </si>
  <si>
    <t>O Qabili Palaw é o prato nacional do Afeganistão; aqui, ele ganha uma versão vegana nutritiva, reduzindo impactos ambientais e poupando a vida de milhares de animais criados para consumo.</t>
  </si>
  <si>
    <t>- 2 xícaras de arroz basmati
- 1 ½ xícara de grão-de-bico cozido
- 2 cenouras grandes cortadas em tiras
- ½ xícara de uvas-passas
- ½ xícara de amêndoas ou nozes
- 1 cebola média fatiada
- 3 colheres de sopa de óleo de gergelim ou girassol
- 1 colher de chá de cominho em pó
- 1 colher de chá de cardamomo
- ½ colher de chá de canela
- Sal e pimenta a gosto
- 1 colher de sopa de semente de linhaça moída (opcional, fonte de ômega-3)</t>
  </si>
  <si>
    <t>1. Lave bem o arroz e deixe de molho por 30 min.
2. Refogue a cebola no óleo até dourar, adicione as especiarias.
3. Acrescente o arroz escorrido, mexa e adicione água (3 xícaras). Cozinhe até quase pronto.
4. Em frigideira separada, salteie a cenoura e as passas até caramelizarem levemente.
5. Misture o grão-de-bico já cozido ao arroz, cubra com as cenouras, passas e nozes/amêndoas.
6. Deixe em fogo baixo por 10 minutos, abafado, até os sabores se integrarem.</t>
  </si>
  <si>
    <t xml:space="preserve">qabili palaw
arroz basmati
cenoura
passas
grão-de-bico
amêndoas
especiarias afegãs (cominho, cardamomo, canela)
prato nacional
</t>
  </si>
  <si>
    <t>Porção 1/4 Energia: 480 kcal
Proteína: 17 g
Carboidratos: 65 g
Gorduras: 14 g
Ferro: 6,8 mg (49% VD)
Cálcio: 120 mg (12% VD)
Zinco: 3,2 mg (29% VD)
Ômega-3: 1,2 g
Fibra: 12 g</t>
  </si>
  <si>
    <t>Acompanhe o prato com uma salada fresca de tomate e limão 🍋 — a vitamina C potencializa a absorção do ferro presente no grão-de-bico, nas amêndoas e no arroz integral.</t>
  </si>
  <si>
    <t>https://flagcdn.com/w320/af.png</t>
  </si>
  <si>
    <t>África do Sul</t>
  </si>
  <si>
    <t>Bobotie Vegano de Lentilhas</t>
  </si>
  <si>
    <t>O Bobotie é considerado prato nacional da África do Sul, normalmente feito com carne. A versão vegana com lentilhas e especiarias mantém o sabor autêntico e reduz drasticamente o impacto ambiental.</t>
  </si>
  <si>
    <t>2 xícaras de lentilhas cozidas
1 cebola grande picada
2 cenouras raladas
2 fatias de pão integral embebidas em leite vegetal
2 colheres (sopa) de curry em pó
1 colher (chá) de açafrão
1 colher (sopa) de óleo vegetal
Sal e pimenta a gosto</t>
  </si>
  <si>
    <t>Refogue cebola e cenoura com curry e açafrão.
Misture lentilhas e pão amolecido.
Leve ao forno a 180°C por 30 min. Tempo: 45 min | Porções: 6</t>
  </si>
  <si>
    <t>bobotie, lentilhas, especiarias, prato nacional, receita vegana africana</t>
  </si>
  <si>
    <t>(1 porção)
420 kcal | 20 g proteína | 56 g carboidratos | Ferro: 6,5 mg | Cálcio: 210 mg | Zinco: 2,8 mg | Ômega-3: 950 mg</t>
  </si>
  <si>
    <t>Sirva com arroz integral e chutney de manga para aumentar ferro e vitamina C.</t>
  </si>
  <si>
    <t>https://flagcdn.com/w320/za.png</t>
  </si>
  <si>
    <t>Albânia</t>
  </si>
  <si>
    <t xml:space="preserve">Tavë Kosi Vegano (Assado de Arroz e Iogurte Vegetal)
</t>
  </si>
  <si>
    <t>O Tavë Kosi é prato nacional da Albânia, geralmente feito com carne e iogurte. A versão vegana usa arroz, grão-de-bico e iogurte de soja caseiro.</t>
  </si>
  <si>
    <t>1 xícara de arroz integral cozido
1 xícara de grão-de-bico cozido
1 cebola picada
1 xícara de iogurte de soja natural
1 colher (sopa) de azeite
Sal e pimenta</t>
  </si>
  <si>
    <t>Misture arroz, grão-de-bico e cebola.
Acrescente o iogurte de soja.
Leve ao forno a 180°C por 20 min.</t>
  </si>
  <si>
    <t>tavë kosi, arroz, grão-de-bico, iogurte de soja, receita vegana balcânica</t>
  </si>
  <si>
    <t>(1 porção)
390 kcal | 18 g proteína | 55 g carboidratos | Ferro: 6 mg | Cálcio: 230 mg | Zinco: 2,9 mg | Ômega-3: 900 mg</t>
  </si>
  <si>
    <t>Combine com salada de folhas e limão para absorção extra de ferro.</t>
  </si>
  <si>
    <t>https://flagcdn.com/w320/al.png</t>
  </si>
  <si>
    <t>Alemanha</t>
  </si>
  <si>
    <t>Sauerbraten Vegano com Seitan</t>
  </si>
  <si>
    <t>O Sauerbraten é um assado tradicional alemão, feito com carne marinada. A versão vegana usa seitan, garantindo proteína de alto valor.</t>
  </si>
  <si>
    <t>400 g de seitan em pedaços
1 cebola fatiada
2 cenouras picadas
1 xícara de vinho tinto
2 colheres (sopa) de vinagre
2 colheres (sopa) de óleo
Especiarias: louro, cravo, pimenta-do-reino</t>
  </si>
  <si>
    <t>Marine o seitan em vinho, vinagre e especiarias por 12h.
Refogue legumes e asse tudo junto por 40 min. Tempo: 13h (com marinada) | Porções: 6</t>
  </si>
  <si>
    <t>sauerbraten, seitan</t>
  </si>
  <si>
    <t>(1 porção)
450 kcal | 30 g proteína | 40 g carboidratos | Ferro: 7 mg | Cálcio: 190 mg | Zinco: 3,1 mg | Ômega-3: 850 mg</t>
  </si>
  <si>
    <t>Sirva com batatas cozidas e chucrute para prebióticos e vitamina C.</t>
  </si>
  <si>
    <t>https://flagcdn.com/w320/de.png</t>
  </si>
  <si>
    <t>Andorra</t>
  </si>
  <si>
    <t>Escudella Vegana (Sopa de Leguminosas e Vegetais)</t>
  </si>
  <si>
    <t>A Escudella é uma sopa de inverno dos Pirineus, típica de Andorra, feita com carne. A versão vegana é rica em feijão, grão-de-bico e lentilhas.</t>
  </si>
  <si>
    <t>1/2 xícara de feijão branco
1/2 xícara de lentilhas
1/2 xícara de grão-de-bico
2 batatas em cubos
1 cenoura em rodelas
1 cebola picada
2 colheres (sopa) de azeite</t>
  </si>
  <si>
    <t>Cozinhe leguminosas até ficarem macias.
Adicione batata, cenoura e cebola.
Tempere com azeite, sal e pimenta.
Tempo: 1h20 | Porções: 6</t>
  </si>
  <si>
    <t>escudella, sopa de leguminosas, prato pirenaico, receita vegana andorrana</t>
  </si>
  <si>
    <t>(1 porção)
430 kcal | 22 g proteína | 62 g carboidratos | Ferro: 6,4 mg | Cálcio: 220 mg | Zinco: 3 mg | Ômega-3: 1.000 mg</t>
  </si>
  <si>
    <t>Sirva com pão integral para aumentar fibras e energia.</t>
  </si>
  <si>
    <t>https://flagcdn.com/w320/ad.png</t>
  </si>
  <si>
    <t>Angola</t>
  </si>
  <si>
    <t>Moamba de Ginguba Vegana (Molho de Amendoim com Legumes)</t>
  </si>
  <si>
    <t>A Moamba é prato angolano muito popular, geralmente feito com frango. A versão vegana usa amendoim, quiabo e abóbora.</t>
  </si>
  <si>
    <t>1 xícara de pasta de amendoim
1 xícara de abóbora em cubos
1 xícara de quiabo em rodelas
1 cebola picada
2 tomates picados
2 colheres (sopa) de óleo de palma ou vegetal</t>
  </si>
  <si>
    <t>Refogue cebola e tomate.
Acrescente abóbora e quiabo.
Misture pasta de amendoim e cozinhe até engrossar.
Tempo: 45 min | Porções: 5</t>
  </si>
  <si>
    <t>moamba, amendoim, quiabo, abóbora, receita vegana angolana</t>
  </si>
  <si>
    <t>(1 porção)
460 kcal | 20 g proteína | 50 g carboidratos | Ferro: 6,7 mg | Cálcio: 230 mg | Zinco: 3,2 mg | Ômega-3: 1.200 mg</t>
  </si>
  <si>
    <t>Sirva com funge de milho para um prato típico e nutritivo.</t>
  </si>
  <si>
    <t>https://flagcdn.com/w320/ao.png</t>
  </si>
  <si>
    <t>Antiga e Barbuda</t>
  </si>
  <si>
    <t>Pepperpot Vegano</t>
  </si>
  <si>
    <t>O Pepperpot é o prato nacional de Antígua e Barbuda, feito com carne. Aqui, usamos feijão e folhas verdes locais.</t>
  </si>
  <si>
    <t>1 xícara de feijão-preto cozido
2 xícaras de folhas de espinafre ou taioba
1 cebola picada
2 tomates picados
1 colher (sopa) de óleo vegetal
Pimenta a gosto</t>
  </si>
  <si>
    <t>Refogue cebola e tomate.
Acrescente feijão e folhas verdes.
Tempere com pimenta e cozinhe por 10 min. Tempo: 35 min | Porções: 4</t>
  </si>
  <si>
    <t>pepperpot, feijão-preto, folhas verdes, prato caribenho</t>
  </si>
  <si>
    <t>(1 porção)
410 kcal | 18 g proteína | 54 g carboidratos | Ferro: 6 mg | Cálcio: 220 mg | Zinco: 2,9 mg | Ômega-3: 950 mg</t>
  </si>
  <si>
    <t>Sirva com arroz de coco para aumentar energia e sabor caribenho.</t>
  </si>
  <si>
    <t>https://flagcdn.com/w320/ag.png</t>
  </si>
  <si>
    <t>Arábia Saudita</t>
  </si>
  <si>
    <t>Kabsa Vegano com Grão-de-Bico</t>
  </si>
  <si>
    <t>O Kabsa é um prato de arroz aromático, considerado nacional na Arábia Saudita. A versão vegana usa grão-de-bico como fonte de proteína.</t>
  </si>
  <si>
    <t>2 xícaras de arroz basmati
1 xícara de grão-de-bico cozido
2 cenouras raladas
1 cebola picada
1 colher (chá) de cardamomo
1 colher (chá) de canela
2 colheres (sopa) de óleo vegetal</t>
  </si>
  <si>
    <t>Refogue cebola e especiarias no óleo.
Acrescente arroz, cenoura e grão-de-bico.
Cozinhe com água até ficar macio.
Tempo: 50 min | Porções: 6</t>
  </si>
  <si>
    <t>kabsa, arroz basmati, grão-de-bico, especiarias árabes</t>
  </si>
  <si>
    <t>440 kcal | 19 g proteína | 64 g carboidratos | Ferro: 6,5 mg | Cálcio: 210 mg | Zinco: 2,8 mg | Ômega-3: 1.100 mg</t>
  </si>
  <si>
    <t>Sirva com salada de pepino e limão para maior absorção de ferro.</t>
  </si>
  <si>
    <t>https://flagcdn.com/w320/sa.png</t>
  </si>
  <si>
    <t>Argélia</t>
  </si>
  <si>
    <t>Couscous Vegano com Legumes</t>
  </si>
  <si>
    <t>O Couscous é o prato mais representativo da Argélia, normalmente servido com carne. A versão vegana usa legumes variados e grão-de-bico.</t>
  </si>
  <si>
    <t>1 xícara de cuscuz de sêmola
1 xícara de grão-de-bico cozido
2 cenouras em cubos
1 abobrinha em cubos
1 cebola picada
2 colheres (sopa) de azeite</t>
  </si>
  <si>
    <t>Hidrate o cuscuz com água quente e azeite.
Refogue legumes e junte grão-de-bico.
Sirva sobre o cuscuz.
Tempo: 35 min | Porções: 5</t>
  </si>
  <si>
    <t>couscous, grão-de-bico, legumes, receita vegana argelina</t>
  </si>
  <si>
    <t>(1 porção)
430 kcal | 18 g proteína | 63 g carboidratos | Ferro: 6,2 mg | Cálcio: 220 mg | Zinco: 3 mg | Ômega-3: 1.000 mg</t>
  </si>
  <si>
    <t>Adicione passas para ferro e energia extra.</t>
  </si>
  <si>
    <t>https://flagcdn.com/w320/dz.png</t>
  </si>
  <si>
    <t>Argentina</t>
  </si>
  <si>
    <t>Empanadas Veganas de Lentilhas</t>
  </si>
  <si>
    <t>As Empanadas são tradicionais na Argentina, geralmente recheadas com carne. A versão vegana leva lentilhas e especiarias.</t>
  </si>
  <si>
    <t>12 discos de massa de empanada vegana
2 xícaras de lentilhas cozidas
1 cebola picada
1 pimentão picado
2 tomates picados
2 colheres (sopa) de azeite</t>
  </si>
  <si>
    <t>Refogue cebola, tomate e pimentão.
Junte lentilhas e cozinhe até engrossar.
Recheie discos e asse a 200°C por 20 min.
Tempo: 45 min | Porções: 12 empanadas</t>
  </si>
  <si>
    <t>empanada, lentilhas, prato argentino, receita vegana sul-americana</t>
  </si>
  <si>
    <t>(1 empanada)
200 kcal | 8 g proteína | 28 g carboidratos | Ferro: 2,5 mg | Cálcio: 70 mg | Zinco: 1,2 mg | Ômega-3: 400 mg</t>
  </si>
  <si>
    <t>Sirva com molho chimichurri fresco para antioxidantes extras.</t>
  </si>
  <si>
    <t>https://flagcdn.com/w320/ar.png</t>
  </si>
  <si>
    <t>Armênia</t>
  </si>
  <si>
    <t>Dolma Vegano (Folhas de Uva Recheadas)</t>
  </si>
  <si>
    <t>O Dolma é prato típico da Armênia e região, normalmente recheado com carne. A versão vegana usa arroz integral, lentilhas e ervas.</t>
  </si>
  <si>
    <t>20 folhas de uva em conserva
1 xícara de arroz integral
1/2 xícara de lentilhas cozidas
1 cebola picada
Hortelã e endro fresco
2 colheres (sopa) de azeite</t>
  </si>
  <si>
    <t>Cozinhe arroz até quase pronto.
Misture com lentilhas, cebola e ervas.
Recheie folhas de uva, enrole e cozinhe no vapor.
Tempo: 1h | Porções: 20 dolmas</t>
  </si>
  <si>
    <t>dolma, folhas de uva, arroz, lentilhas, receita vegana armênia</t>
  </si>
  <si>
    <t>(1 dolma)
70 kcal | 3 g proteína | 10 g carboidratos | Ferro: 0,9 mg | Cálcio: 35 mg | Zinco: 0,5 mg | Ômega-3: 120 mg</t>
  </si>
  <si>
    <t>Sirva com molho de iogurte de soja e limão para frescor e absorção de ferro.</t>
  </si>
  <si>
    <t>https://flagcdn.com/w320/am.png</t>
  </si>
  <si>
    <t>Austrália</t>
  </si>
  <si>
    <t>Meat Pie Vegana de Cogumelos e Lentilhas</t>
  </si>
  <si>
    <t>A Meat Pie é um ícone australiano, normalmente recheada com carne. A versão vegana usa cogumelos e lentilhas.</t>
  </si>
  <si>
    <t>4 discos de massa de torta vegana
2 xícaras de lentilhas cozidas
1 xícara de cogumelos picados
1 cebola picada
1 cenoura em cubos
2 colheres (sopa) de azeite</t>
  </si>
  <si>
    <t>Refogue cebola, cenoura e cogumelos.
Misture lentilhas e cozinhe até engrossar.
Recheie massas e asse a 200°C por 25 min.
Tempo: 50 min | Porções: 4</t>
  </si>
  <si>
    <t>meat pie, torta salgada, cogumelos, lentilhas, receita vegana australiana</t>
  </si>
  <si>
    <t>(1 porção)
430 kcal | 18 g proteína | 58 g carboidratos | Ferro: 6,3 mg | Cálcio: 210 mg | Zinco: 2,8 mg | Ômega-3: 950 mg</t>
  </si>
  <si>
    <t>Sirva com molho de tomate fresco para vitamina C.</t>
  </si>
  <si>
    <t>https://flagcdn.com/w320/au.png</t>
  </si>
  <si>
    <t>Áustria</t>
  </si>
  <si>
    <t>Wiener Schnitzel Vegano de Seitan</t>
  </si>
  <si>
    <t>O Wiener Schnitzel é prato tradicional austríaco, empanado e frito. A versão vegana usa seitan, mantendo a crocância.</t>
  </si>
  <si>
    <t>400 g de seitan em bifes
1 xícara de farinha de trigo
1 xícara de leite de soja
1 xícara de farinha de rosca
Óleo para fritar</t>
  </si>
  <si>
    <t>Passe o seitan na farinha, leite de soja e farinha de rosca.
Frite até dourar.
Tempo: 35 min | Porções: 4</t>
  </si>
  <si>
    <t>schnitzel, seitan, prato austríaco, receita vegana europeia</t>
  </si>
  <si>
    <t>(1 porção)
420 kcal | 30 g proteína | 40 g carboidratos | Ferro: 6,8 mg | Cálcio: 190 mg | Zinco: 3 mg | Ômega-3: 850 mg</t>
  </si>
  <si>
    <t>Sirva com salada de batata e limão fresco.</t>
  </si>
  <si>
    <t>https://flagcdn.com/w320/at.png</t>
  </si>
  <si>
    <t>Azerbaijão</t>
  </si>
  <si>
    <t>Plov Vegano de Grão-de-Bico e Especiarias</t>
  </si>
  <si>
    <t>O Plov é prato nacional do Azerbaijão, feito com arroz e carne. A versão vegana usa grão-de-bico e açafrão.</t>
  </si>
  <si>
    <t>2 xícaras de arroz basmati
1 ½ xícara de grão-de-bico cozido
2 cenouras em tiras
1 cebola picada
2 colheres (sopa) de óleo vegetal
1 colher (chá) de açafrão</t>
  </si>
  <si>
    <t>Refogue cebola e cenoura em óleo.
Acrescente arroz, grão-de-bico e açafrão.
Cozinhe até que o arroz esteja macio.
Tempo: 50 min | Porções: 6</t>
  </si>
  <si>
    <t>plov, arroz basmati, grão-de-bico, açafrão, especiarias, prato nacional, receita vegana azeri, proteína vegetal, ferro e cálcio</t>
  </si>
  <si>
    <t>430 kcal | 17 g proteína | 66 g carboidratos | 11 g fibras | 11 g gorduras | Ferro: 6,4 mg | Cálcio: 210 mg | Zinco: 2,8 mg | Ômega-3: 950 mg | Sódio: ~380 mg</t>
  </si>
  <si>
    <t>Finalize o prato com ervas frescas (salsa, coentro, endro) 🌿: além de sabor, trazem vitamina C, que melhora a absorção do ferro presente no grão-de-bico e no arroz integral.</t>
  </si>
  <si>
    <t>https://flagcdn.com/w320/az.png</t>
  </si>
  <si>
    <t>Bahamas</t>
  </si>
  <si>
    <t>Peas ‘n Rice Vegano com Banana-da-Terra</t>
  </si>
  <si>
    <t>O Peas ‘n Rice é um clássico das Bahamas, geralmente servido com frutos do mar. A versão vegana usa feijão-fradinho e banana-da-terra, tornando o prato completo em proteínas e fibras.</t>
  </si>
  <si>
    <t>2 xícaras de arroz integral
1 xícara de feijão-fradinho cozido
1 cebola picada
1 pimentão verde picado
2 colheres (sopa) de óleo de coco
1 banana-da-terra frita em rodelas</t>
  </si>
  <si>
    <t>Refogue cebola e pimentão no óleo.
Acrescente arroz e feijão, cozinhe até secar.
Sirva com banana-da-terra frita.
Tempo: 50 min | Porções: 6</t>
  </si>
  <si>
    <t>peas ‘n rice, arroz, feijão-fradinho, banana-da-terra, receita vegana caribenha</t>
  </si>
  <si>
    <t>(1 porção)
440 kcal | 17 g proteína | 66 g carboidratos | Ferro: 6,2 mg | Cálcio: 220 mg | Zinco: 2,8 mg | Ômega-3: 1.100 mg | Sódio: ~380 mg</t>
  </si>
  <si>
    <t>Finalize com suco de limão fresco para aumentar absorção de ferro.</t>
  </si>
  <si>
    <t>https://flagcdn.com/w320/bs.png</t>
  </si>
  <si>
    <t>Bahrein</t>
  </si>
  <si>
    <t>Machboos Vegano com Grão-de-Bico</t>
  </si>
  <si>
    <t>O Machboos é prato nacional do Bahrein, feito com arroz e carne. A versão vegana utiliza grão-de-bico e especiarias aromáticas do Golfo.</t>
  </si>
  <si>
    <t>2 xícaras de arroz basmati
1 ½ xícara de grão-de-bico cozido
1 cebola grande
1 cenoura em cubos
1 colher (chá) de canela
1 colher (chá) de cardamomo
2 colheres (sopa) de óleo vegetal</t>
  </si>
  <si>
    <t>Refogue cebola e especiarias.
Adicione arroz, cenoura e grão-de-bico.
Cozinhe até o arroz amaciar.
Tempo: 50 min | Porções: 6</t>
  </si>
  <si>
    <t>machboos, arroz, grão-de-bico, especiarias árabes, receita vegana bahreinita</t>
  </si>
  <si>
    <t>430 kcal | 18 g proteína | 65 g carboidratos | Ferro: 6,3 mg | Cálcio: 210 mg | Zinco: 2,9 mg | Ômega-3: 1.000 mg | Sódio: ~370 mg</t>
  </si>
  <si>
    <t>Sirva com salada de pepino e limão para refrescar e melhorar absorção de ferro.</t>
  </si>
  <si>
    <t>https://flagcdn.com/w320/bh.png</t>
  </si>
  <si>
    <t>Bangladesh</t>
  </si>
  <si>
    <t>Bhuna Khichuri Vegano</t>
  </si>
  <si>
    <t>O Khichuri é prato tradicional bengali de arroz e lentilhas, muitas vezes servido em festividades religiosas. A versão vegana mantém simplicidade e nutrição.</t>
  </si>
  <si>
    <t>1 xícara de arroz integral
1 xícara de lentilhas amarelas
1 cebola picada
1 colher (chá) de cúrcuma
2 colheres (sopa) de óleo de mostarda</t>
  </si>
  <si>
    <t>Refogue cebola e cúrcuma no óleo.
Acrescente arroz e lentilhas, cozinhe com água até engrossar.
Tempo: 45 min | Porções: 5</t>
  </si>
  <si>
    <t>khichuri, arroz, lentilhas, prato bengali, receita vegana bangladesh</t>
  </si>
  <si>
    <t>420 kcal | 19 g proteína | 62 g carboidratos | Ferro: 6,4 mg | Cálcio: 200 mg | Zinco: 2,7 mg | Ômega-3: 950 mg | Sódio: ~360 mg</t>
  </si>
  <si>
    <t>Sirva com chutney de manga para antioxidantes e vitamina C.</t>
  </si>
  <si>
    <t>https://flagcdn.com/w320/bd.png</t>
  </si>
  <si>
    <t>Barbados</t>
  </si>
  <si>
    <t>Cou Cou com Okra e Feijão Vermelho</t>
  </si>
  <si>
    <t>O Cou Cou é prato nacional de Barbados, feito com milho e quiabo, servido com peixe. A versão vegana usa feijão vermelho para proteína extra.</t>
  </si>
  <si>
    <t>1 xícara de farinha de milho
2 xícaras de quiabo em rodelas
1 xícara de feijão vermelho cozido
1 cebola picada
1 colher (sopa) de óleo vegetal</t>
  </si>
  <si>
    <t>Cozinhe a farinha de milho até engrossar.
Refogue cebola, quiabo e feijão.
Sirva juntos.
Tempo: 40 min | Porções: 4</t>
  </si>
  <si>
    <t>cou cou, quiabo, milho, feijão vermelho, receita vegana caribenha</t>
  </si>
  <si>
    <t>(1 porção)
410 kcal | 16 g proteína | 58 g carboidratos | Ferro: 6 mg | Cálcio: 220 mg | Zinco: 2,8 mg | Ômega-3: 1.000 mg | Sódio: ~350 mg</t>
  </si>
  <si>
    <t>Acompanhe com molho apimentado de limão para mais vitamina C.</t>
  </si>
  <si>
    <t>https://flagcdn.com/w320/bb.png</t>
  </si>
  <si>
    <t>Bielorrússia</t>
  </si>
  <si>
    <t>Draniki Vegano (Panquecas de Batata com Creme de Caju)</t>
  </si>
  <si>
    <t>Os Draniki são panquecas de batata, prato tradicional da Bielorrússia. A versão vegana é servida com creme de caju no lugar do creme azedo, garantindo proteínas e gorduras boas.</t>
  </si>
  <si>
    <t>4 batatas grandes raladas
1 cebola ralada
2 colheres (sopa) de farinha de trigo
2 colheres (sopa) de óleo vegetal
Sal e pimenta a gosto
1/2 xícara de creme de caju (caju demolhado, limão, levedura nutricional)</t>
  </si>
  <si>
    <t>Misture batata, cebola e farinha.
Modele panquecas e frite até dourar.
Sirva com creme de caju.
Tempo: 40 min | Porções: 4</t>
  </si>
  <si>
    <t>draniki, batata, creme de caju, receita vegana bielorrussa</t>
  </si>
  <si>
    <t>420 kcal | 12 g proteína | 58 g carboidratos | Ferro: 5,5 mg | Cálcio: 200 mg | Zinco: 2,6 mg | Ômega-3: 950 mg | Sódio: ~370 mg</t>
  </si>
  <si>
    <t>Adicione endro fresco para sabor e vitamina C, aumentando absorção do ferro.</t>
  </si>
  <si>
    <t>https://flagcdn.com/w320/by.png</t>
  </si>
  <si>
    <t>Bélgica</t>
  </si>
  <si>
    <t>Stoofvlees Vegano (Ensopado de Seitan com Cerveja Escura)</t>
  </si>
  <si>
    <t>O Stoofvlees é um ensopado belga de carne com cerveja. A versão vegana usa seitan, fonte riquíssima de proteína, e cerveja artesanal vegana.</t>
  </si>
  <si>
    <t>400 g de seitan em cubos
1 cebola picada
1 cenoura em rodelas
1 garrafa de cerveja escura vegana
2 colheres (sopa) de óleo vegetal
Louro e tomilho</t>
  </si>
  <si>
    <t>Refogue cebola e cenoura.
Junte seitan e cerveja.
Cozinhe até reduzir e engrossar.
Tempo: 1h | Porções: 5</t>
  </si>
  <si>
    <t>stoofvlees, seitan, cerveja escura, receita vegana belga</t>
  </si>
  <si>
    <t>(1 porção)
450 kcal | 30 g proteína | 40 g carboidratos | Ferro: 6,5 mg | Cálcio: 190 mg | Zinco: 3 mg | Ômega-3: 900 mg | Sódio: ~380 mg</t>
  </si>
  <si>
    <t>Sirva com batatas fritas rústicas para tradição e energia extra.</t>
  </si>
  <si>
    <t>https://flagcdn.com/w320/be.png</t>
  </si>
  <si>
    <t>Belize</t>
  </si>
  <si>
    <t xml:space="preserve">Rice and Beans </t>
  </si>
  <si>
    <t>O Rice and Beans é o prato mais emblemático de Belize, naturalmente vegano, feito com arroz, feijão e leite de coco.</t>
  </si>
  <si>
    <t>2 xícaras de arroz integral
1 xícara de feijão vermelho cozido
1 xícara de leite de coco
1 cebola picada
2 colheres (sopa) de óleo de coco</t>
  </si>
  <si>
    <t>Refogue cebola no óleo.
Junte arroz, feijão e leite de coco.
Cozinhe até ficar macio.
Tempo: 45 min | Porções: 6</t>
  </si>
  <si>
    <t xml:space="preserve">rice and beans, arroz, feijão vermelho, coco, receita vegana belizenha
</t>
  </si>
  <si>
    <t>Adicione salsa fresca e limão para frescor e vitamina C.</t>
  </si>
  <si>
    <t>https://flagcdn.com/w320/bz.png</t>
  </si>
  <si>
    <t>Benim</t>
  </si>
  <si>
    <t>Amiwo Vegano (Pasta de Milho com Feijão e Tomate)</t>
  </si>
  <si>
    <t>O Amiwo é prato típico do Benim, feito com pasta de milho e molho apimentado. A versão vegana ganha reforço com feijão-preto para mais proteína.</t>
  </si>
  <si>
    <t>1 xícara de farinha de milho
3 xícaras de água
1 xícara de feijão-preto cozido
2 tomates picados
1 cebola picada
2 colheres (sopa) de óleo de palma</t>
  </si>
  <si>
    <t>Cozinhe a farinha de milho até engrossar.
Refogue tomate e cebola no óleo.
Misture com feijão e sirva.
Tempo: 40 min | Porções: 4</t>
  </si>
  <si>
    <t>amiwo, milho, feijão-preto, receita vegana beninense</t>
  </si>
  <si>
    <t>420 kcal | 16 g proteína | 60 g carboidratos | Ferro: 6 mg | Cálcio: 210 mg | Zinco: 2,8 mg | Ômega-3: 1.000 mg | Sódio: ~370 mg</t>
  </si>
  <si>
    <t>Sirva com folhas verdes para mais cálcio e vitamina C.</t>
  </si>
  <si>
    <t>https://flagcdn.com/w320/bj.png</t>
  </si>
  <si>
    <t>Butão</t>
  </si>
  <si>
    <t xml:space="preserve">Ema Datshi </t>
  </si>
  <si>
    <t>O Ema Datshi é o prato nacional do Butão, feito com pimentas e queijo. A versão vegana usa queijo de caju, mantendo cremosidade e sabor.</t>
  </si>
  <si>
    <t>200 g de pimentas verdes grandes
1 cebola picada
1 tomate picado
1/2 xícara de queijo de caju (caju demolhado + limão + levedura nutricional)
2 colheres (sopa) de óleo vegetal</t>
  </si>
  <si>
    <t xml:space="preserve">Refogue cebola e tomate.
Acrescente pimentas.
Misture queijo de caju e sirva.
Tempo: 30 min | Porções: 4
</t>
  </si>
  <si>
    <t>ema datshi, pimentas, queijo de caju, receita vegana butanesa</t>
  </si>
  <si>
    <t>(1 porção)
420 kcal | 15 g proteína | 55 g carboidratos | Ferro: 6 mg | Cálcio: 230 mg | Zinco: 2,8 mg | Ômega-3: 1.050 mg | Sódio: ~370 mg</t>
  </si>
  <si>
    <t>Sirva com arroz integral para complementar proteínas.</t>
  </si>
  <si>
    <t>https://flagcdn.com/w320/bt.png</t>
  </si>
  <si>
    <t>Bolívia</t>
  </si>
  <si>
    <t>Salteñas Veganas de Lentilhas</t>
  </si>
  <si>
    <t>As Salteñas são pastéis bolivianos recheados com carne. A versão vegana leva lentilhas e batata, mantendo tradição e sabor.</t>
  </si>
  <si>
    <t>12 discos de massa vegana
2 xícaras de lentilhas cozidas
2 batatas em cubos
1 cebola picada
2 tomates picados
2 colheres (sopa) de azeite</t>
  </si>
  <si>
    <t>Refogue cebola e tomate.
Junte batata e lentilhas.
Recheie discos e asse a 200°C por 20 min.
Tempo: 45 min | Porções: 12</t>
  </si>
  <si>
    <t>salteña, pastel, lentilhas, receita vegana boliviana</t>
  </si>
  <si>
    <t>(1 unidade)
220 kcal | 8 g proteína | 30 g carboidratos | Ferro: 2,7 mg | Cálcio: 70 mg | Zinco: 1,3 mg | Ômega-3: 420 mg | Sódio: ~200 mg</t>
  </si>
  <si>
    <t>Sirva com molho de pimenta e limão para vitamina C e absorção de ferro.</t>
  </si>
  <si>
    <t>https://flagcdn.com/w320/bo.png</t>
  </si>
  <si>
    <t>Bósnia e Herzegovina</t>
  </si>
  <si>
    <t>Begova Čorba Vegana (Sopa de Leguminosas)</t>
  </si>
  <si>
    <t>A Begova Čorba é uma sopa tradicional bósnia, normalmente feita com frango. A versão vegana traz grão-de-bico e feijão-branco.</t>
  </si>
  <si>
    <t>1/2 xícara de grão-de-bico
1/2 xícara de feijão-branco
1 cenoura em cubos
1 batata em cubos
1 cebola picada
2 colheres (sopa) de azeite</t>
  </si>
  <si>
    <t>Cozinhe as leguminosas.
Acrescente legumes e azeite.
Tempere e sirva.
Tempo: 1h | Porções: 5</t>
  </si>
  <si>
    <t>begova čorba, sopa bósnia, grão-de-bico, feijão-branco, receita vegana balcânica</t>
  </si>
  <si>
    <t>(1 porção)
410 kcal | 18 g proteína | 58 g carboidratos | Ferro: 6,3 mg | Cálcio: 210 mg | Zinco: 2,8 mg | Ômega-3: 950 mg | Sódio: ~370 mg</t>
  </si>
  <si>
    <t>Sirva com pão integral para energia e fibras extras.</t>
  </si>
  <si>
    <t>https://flagcdn.com/w320/ba.png</t>
  </si>
  <si>
    <t>Botsuana</t>
  </si>
  <si>
    <t>Bogobe Vegano com Morogo (Couve Africana)</t>
  </si>
  <si>
    <t>O Bogobe é uma papa de milho básica em Botsuana. Tradicionalmente servida com carne, aqui ganha morogo (couve africana) e feijão-preto.</t>
  </si>
  <si>
    <t>1 xícara de farinha de milho
2 ½ xícaras de água
1 xícara de feijão-preto cozido
2 xícaras de couve picada
1 cebola picada
2 colheres (sopa) de óleo vegetal</t>
  </si>
  <si>
    <t>Prepare a papa de milho até engrossar.
Refogue cebola, couve e feijão.
Sirva juntos.
Tempo: 40 min | Porções: 4</t>
  </si>
  <si>
    <t>bogobe, papa de milho, couve africana, feijão, receita vegana botsuanesa</t>
  </si>
  <si>
    <t>(1 porção)
420 kcal | 17 g proteína | 62 g carboidratos | Ferro: 6,2 mg | Cálcio: 220 mg | Zinco: 2,9 mg | Ômega-3: 1.050 mg | Sódio: ~380 mg</t>
  </si>
  <si>
    <t>Sirva com molho de tomate fresco para absorção extra de ferro.</t>
  </si>
  <si>
    <t>https://flagcdn.com/w320/bw.png</t>
  </si>
  <si>
    <t>Brasil</t>
  </si>
  <si>
    <t>Feijoada Vegana</t>
  </si>
  <si>
    <t>A Feijoada é o prato nacional brasileiro, tradicionalmente feita com carnes. A versão vegana leva feijão-preto, legumes e tofu defumado.</t>
  </si>
  <si>
    <t>2 xícaras de feijão-preto
200 g de tofu defumado
1 cenoura em cubos
1 abóbora em cubos
1 cebola picada
2 colheres (sopa) de azeite
Folhas de louro</t>
  </si>
  <si>
    <t>Cozinhe o feijão até amaciar.
Refogue legumes e tofu.
Misture tudo e cozinhe mais 15 min.
Tempo: 1h30 | Porções: 6</t>
  </si>
  <si>
    <t>feijoada, feijão-preto, tofu defumado, prato nacional, receita vegana brasileira</t>
  </si>
  <si>
    <t>(1 porção)
480 kcal | 22 g proteína | 64 g carboidratos | Ferro: 6,8 mg | Cálcio: 240 mg | Zinco: 3,1 mg | Ômega-3: 1.100 mg | Sódio: ~420 mg</t>
  </si>
  <si>
    <t>Sirva com couve refogada e laranja 🍊 — vitamina C melhora absorção de ferro.</t>
  </si>
  <si>
    <t>https://flagcdn.com/w320/br.png</t>
  </si>
  <si>
    <t>Brunei</t>
  </si>
  <si>
    <t>Ambuyat Vegano com Molho de Amendoim</t>
  </si>
  <si>
    <t>O Ambuyat é o prato nacional de Brunei, feito com amido de sagu. Tradicionalmente servido com molhos, aqui vem com molho de amendoim cítrico.</t>
  </si>
  <si>
    <t>1 xícara de amido de sagu
2 xícaras de água quente
1/2 xícara de pasta de amendoim
2 colheres (sopa) de suco de limão
1 colher (sopa) de molho de soja</t>
  </si>
  <si>
    <t>(1 porção)
410 kcal | 15 g proteína | 58 g carboidratos | Ferro: 6 mg | Cálcio: 200 mg | Zinco: 2,7 mg | Ômega-3: 950 mg | Sódio: ~360 mg</t>
  </si>
  <si>
    <t>Sirva com legumes crus fatiados para fibras e vitamina C.</t>
  </si>
  <si>
    <t>https://flagcdn.com/w320/bn.png</t>
  </si>
  <si>
    <t>Bulgária</t>
  </si>
  <si>
    <t>Banitsa Vegana com Espinafre e Tofu</t>
  </si>
  <si>
    <t>A Banitsa é uma torta folhada búlgara, feita com ovos e queijo. A versão vegana substitui por tofu e espinafre.</t>
  </si>
  <si>
    <t>6 folhas de massa folhada vegana
200 g de tofu esfarelado
2 xícaras de espinafre picado
1 cebola picada
2 colheres (sopa) de azeite</t>
  </si>
  <si>
    <t>Refogue cebola e espinafre.
Misture com tofu.
Recheie massa folhada, enrole e asse a 200°C por 25 min.
Tempo: 45 min | Porções: 6</t>
  </si>
  <si>
    <t>banitsa, massa folhada, tofu, espinafre, receita vegana búlgara</t>
  </si>
  <si>
    <t>(1 porção)
430 kcal | 19 g proteína | 56 g carboidratos | Ferro: 6,2 mg | Cálcio: 230 mg | Zinco: 2,9 mg | Ômega-3: 1.050 mg | Sódio: ~380 mg</t>
  </si>
  <si>
    <t>Sirva com iogurte vegetal natural para tradição e probióticos.</t>
  </si>
  <si>
    <t>https://flagcdn.com/w320/bg.png</t>
  </si>
  <si>
    <t>Burquina Faso</t>
  </si>
  <si>
    <t>Riz Gras Vegano (Arroz com Legumes e Feijão)</t>
  </si>
  <si>
    <t>O Riz Gras é prato típico de Burquina Faso, geralmente feito com carne. A versão vegana traz feijão-preto e muitos legumes.</t>
  </si>
  <si>
    <t>2 xícaras de arroz integral
1 xícara de feijão-preto cozido
1 cenoura em cubos
1 abobrinha em cubos
1 cebola picada
2 tomates picados
2 colheres (sopa) de óleo vegetal</t>
  </si>
  <si>
    <t>Refogue cebola, cenoura e tomate.
Junte arroz, feijão e abobrinha.
Cozinhe até o arroz ficar macio.
Tempo: 50 min | Porções: 6</t>
  </si>
  <si>
    <t>riz gras, arroz, feijão-preto, receita vegana burquinabê</t>
  </si>
  <si>
    <t>(1 porção)
440 kcal | 18 g proteína | 66 g carboidratos | Ferro: 6,4 mg | Cálcio: 210 mg | Zinco: 2,8 mg | Ômega-3: 1.000 mg | Sódio: ~370 mg</t>
  </si>
  <si>
    <t>Finalize com limão fresco para absorção de ferro.</t>
  </si>
  <si>
    <t>https://flagcdn.com/w320/bf.png</t>
  </si>
  <si>
    <t>Burundi</t>
  </si>
  <si>
    <t>Isombe Vegano (Folhas de Mandioca com Amendoim)</t>
  </si>
  <si>
    <t>O Isombe é prato nacional do Burundi, feito com folhas de mandioca e pasta de amendoim. Tradicionalmente leva peixe, mas aqui é 100% vegetal.</t>
  </si>
  <si>
    <t>2 xícaras de folhas de mandioca (ou couve)
1 xícara de feijão-caupi cozido
3 colheres (sopa) de pasta de amendoim
1 cebola picada
2 colheres (sopa) de óleo de palma</t>
  </si>
  <si>
    <t>Refogue cebola.
Acrescente folhas, feijão e amendoim.
Cozinhe até engrossar.
Tempo: 45 min | Porções: 5</t>
  </si>
  <si>
    <t>isombe, folhas de mandioca, pasta de amendoim, feijão-caupi, prato nacional, receita vegana africana, ferro, cálcio, proteína vegetal</t>
  </si>
  <si>
    <t>(1 porção)
Energia: 430 kcal
Proteína: 18 g
Carboidratos: 56 g
Fibras: 12 g
Gorduras totais: 15 g
Ferro: 6,5 mg
Cálcio: 220 mg
Zinco: 3 mg
Ômega-3: 1.200 mg
Sódio: ~390 mg</t>
  </si>
  <si>
    <t>Sirva o Isombe com arroz integral e fatias de manga fresca 🥭 — a vitamina C da fruta aumenta a absorção de ferro das leguminosas e das folhas de mandioca.</t>
  </si>
  <si>
    <t>https://flagcdn.com/w320/bi.png</t>
  </si>
  <si>
    <t>Cabo Verde</t>
  </si>
  <si>
    <t>Cachupa Vegana (Guisado de Milho, Feijão e Legumes)</t>
  </si>
  <si>
    <t>A Cachupa é o prato nacional de Cabo Verde, feito com milho, feijão e carnes. A versão vegana é rica em proteínas vegetais e fibras, mantendo a tradição crioula.</t>
  </si>
  <si>
    <t>2 xícaras de milho seco demolhado
1 xícara de feijão-caupi
1 xícara de feijão-preto
2 cenouras em cubos
1 abóbora em cubos
1 cebola picada
2 tomates picados
2 colheres (sopa) de azeite</t>
  </si>
  <si>
    <t>Cozinhe o milho e os feijões até ficarem macios.
Refogue cebola e tomate no azeite, adicione os legumes.
Misture tudo e cozinhe até encorpar.
Tempo: 2h | Porções: 8</t>
  </si>
  <si>
    <t>cachupa, milho, feijão-caupi, feijão-preto, receita vegana cabo-verdiana</t>
  </si>
  <si>
    <t>(1 porção)
480 kcal | 22 g proteína | 72 g carboidratos | Ferro: 6,8 mg | Cálcio: 230 mg | Zinco: 3 mg | Ômega-3: 1.150 mg | Sódio: ~400 mg</t>
  </si>
  <si>
    <t>Sirva com couve refogada para aumentar cálcio e ferro.</t>
  </si>
  <si>
    <t>https://flagcdn.com/w320/cv.png</t>
  </si>
  <si>
    <t>Camboja</t>
  </si>
  <si>
    <t>Amok Vegano de Tofu e Coco</t>
  </si>
  <si>
    <t>O Amok é um prato nacional do Camboja, tradicionalmente feito com peixe. A versão vegana usa tofu, leite de coco e especiarias locais.</t>
  </si>
  <si>
    <t>200 g de tofu firme
1 xícara de leite de coco
2 colheres (sopa) de pasta de curry vermelho
1 cebola picada
1 pimentão em tiras
1 colher (sopa) de óleo de coco</t>
  </si>
  <si>
    <t>Refogue cebola e curry no óleo.
Acrescente tofu e pimentão.
Misture leite de coco e cozinhe até engrossar.
Tempo: 40 min | Porções: 4</t>
  </si>
  <si>
    <t>amok, tofu, coco, curry, receita vegana cambojana</t>
  </si>
  <si>
    <t>(1 porção)
430 kcal | 19 g proteína | 52 g carboidratos | Ferro: 6,1 mg | Cálcio: 220 mg | Zinco: 2,9 mg | Ômega-3: 1.000 mg | Sódio: ~390 mg</t>
  </si>
  <si>
    <t>Finalize com folhas de limão kaffir para antioxidantes e frescor.</t>
  </si>
  <si>
    <t>https://flagcdn.com/w320/kh.png</t>
  </si>
  <si>
    <t>Camarões</t>
  </si>
  <si>
    <t>Ndolé Vegano (Guisado de Folhas Amargas com Amendoim)</t>
  </si>
  <si>
    <t>O Ndolé é o prato nacional dos Camarões, feito com folhas amargas, amendoim e tradicionalmente carne ou peixe. A versão vegana é rica em ferro e cálcio.</t>
  </si>
  <si>
    <t>2 xícaras de folhas amargas (ou couve)
1 xícara de feijão-fradinho
3 colheres (sopa) de pasta de amendoim
1 cebola picada
2 tomates picados
2 colheres (sopa) de óleo de palma</t>
  </si>
  <si>
    <t>Cozinhe o feijão até macio.
Refogue cebola e tomate, adicione folhas.
Misture amendoim e cozinhe até encorpar.
Tempo: 50 min | Porções: 6</t>
  </si>
  <si>
    <t>ndolé, folhas amargas, amendoim, feijão-fradinho, receita vegana camaronesa</t>
  </si>
  <si>
    <t>(1 porção)
460 kcal | 20 g proteína | 58 g carboidratos | Ferro: 6,7 mg | Cálcio: 240 mg | Zinco: 3 mg | Ômega-3: 1.200 mg | Sódio: ~420 mg</t>
  </si>
  <si>
    <t>Sirva com banana-da-terra cozida para energia e potássio.</t>
  </si>
  <si>
    <t>https://flagcdn.com/w320/cm.png</t>
  </si>
  <si>
    <t>Canadá</t>
  </si>
  <si>
    <t>Poutine Vegana com Cogumelos e Molho de Caju</t>
  </si>
  <si>
    <t>A Poutine é prato símbolo do Canadá, feita com batata frita, queijo e molho. A versão vegana usa molho de caju e cogumelos refogados.</t>
  </si>
  <si>
    <t>4 batatas grandes cortadas em palitos
200 g de cogumelos laminados
1 cebola picada
1 xícara de molho de caju (caju demolhado + levedura + limão)
2 colheres (sopa) de azeite</t>
  </si>
  <si>
    <t>Asse as batatas até dourar.
Refogue cebola e cogumelos.
Cubra as batatas com molho de caju e cogumelos.
Tempo: 50 min | Porções: 4</t>
  </si>
  <si>
    <t>poutine, batata, cogumelos, molho de caju, receita vegana canadense</t>
  </si>
  <si>
    <t>(1 porção)
450 kcal | 14 g proteína | 62 g carboidratos | Ferro: 5,8 mg | Cálcio: 210 mg | Zinco: 2,6 mg | Ômega-3: 900 mg | Sódio: ~390 mg</t>
  </si>
  <si>
    <t>Sirva com salada de folhas e tomate para equilíbrio nutricional.</t>
  </si>
  <si>
    <t>https://flagcdn.com/w320/ca.png</t>
  </si>
  <si>
    <t>Catar</t>
  </si>
  <si>
    <t>Harees Vegano de Trigo e Lentilhas</t>
  </si>
  <si>
    <t>O Harees é prato típico do Catar, feito com trigo e carne. A versão vegana usa lentilhas e especiarias árabes.</t>
  </si>
  <si>
    <t>1 xícara de trigo em grãos
1 xícara de lentilhas vermelhas
1 cebola picada
2 colheres (sopa) de azeite
1 colher (chá) de cominho
1 colher (chá) de canela</t>
  </si>
  <si>
    <t>Cozinhe trigo e lentilhas até ficarem macios.
Tempere com azeite e especiarias.
Sirva quente.
Tempo: 1h15 | Porções: 5</t>
  </si>
  <si>
    <t>harees, trigo, lentilhas, especiarias árabes, receita vegana do Catar</t>
  </si>
  <si>
    <t>(1 porção)
420 kcal | 20 g proteína | 60 g carboidratos | Ferro: 6,2 mg | Cálcio: 210 mg | Zinco: 2,8 mg | Ômega-3: 950 mg | Sódio: ~370 mg</t>
  </si>
  <si>
    <t>Finalize com limão espremido para aumentar absorção de ferro.</t>
  </si>
  <si>
    <t>https://flagcdn.com/w320/qa.png</t>
  </si>
  <si>
    <t>Cazaquistão</t>
  </si>
  <si>
    <t>Beshbarmak Vegano de Seitan e Macarrão Caseiro</t>
  </si>
  <si>
    <t>O Beshbarmak é considerado prato nacional do Cazaquistão, tradicionalmente feito com carne de cavalo ou carneiro. A versão vegana usa seitan e massa fresca, mantendo a tradição cultural com nutrição vegetal.</t>
  </si>
  <si>
    <t>300 g de seitan em tiras
300 g de macarrão fresco vegano
2 cebolas fatiadas
2 cenouras em tiras
2 colheres (sopa) de óleo vegetal
Sal, pimenta e louro</t>
  </si>
  <si>
    <t>Cozinhe a massa fresca em água com sal.
Refogue cebola e cenoura no óleo, adicione seitan e louro.
Sirva o macarrão coberto pelo refogado.
Tempo: 50 min | Porções: 5</t>
  </si>
  <si>
    <t>beshbarmak, seitan, macarrão fresco, prato nacional, receita vegana cazaque</t>
  </si>
  <si>
    <t>(1 porção) 470 kcal | 28 g proteína | 62 g carboidratos | Ferro: 6,7 mg | Cálcio: 200 mg | Zinco: 3 mg | Ômega-3: 950 mg | Sódio: ~390 mg</t>
  </si>
  <si>
    <t>Sirva com salada de pepino fresco para hidratação e vitamina C.</t>
  </si>
  <si>
    <t>https://flagcdn.com/w320/kz.png</t>
  </si>
  <si>
    <t>Chade</t>
  </si>
  <si>
    <t>Daraba Vegano (Ensopado de Quiabo com Amendoim)</t>
  </si>
  <si>
    <t>O Daraba é um prato típico do Chade, feito com quiabo, amendoim e legumes. A versão vegana é naturalmente rica em proteínas, fibras e minerais.</t>
  </si>
  <si>
    <t>2 xícaras de quiabo em rodelas
1 xícara de feijão-fradinho cozido
3 colheres (sopa) de pasta de amendoim
1 cebola picada
2 tomates picados
2 colheres (sopa) de óleo vegetal</t>
  </si>
  <si>
    <t>Refogue cebola e tomate no óleo.
Acrescente quiabo e feijão.
Misture pasta de amendoim e cozinhe até engrossar. Tempo: 40 min | Porções: 5</t>
  </si>
  <si>
    <t>daraba, quiabo, pasta de amendoim, feijão-fradinho, receita vegana do Chade</t>
  </si>
  <si>
    <t>430 kcal | 19 g proteína | 55 g carboidratos | Ferro: 6,5 mg | Cálcio: 220 mg | Zinco: 2,9 mg | Ômega-3: 1.050 mg | Sódio: ~380 mg</t>
  </si>
  <si>
    <t>Sirva com arroz integral para complementar aminoácidos essenciais.</t>
  </si>
  <si>
    <t>https://flagcdn.com/w320/td.png</t>
  </si>
  <si>
    <t>Chile</t>
  </si>
  <si>
    <t>Cazuela Vegana de Milho e Abóbora</t>
  </si>
  <si>
    <t>A Cazuela é uma sopa chilena, feita com carne, milho e abóbora. A versão vegana leva feijão-branco, mantendo a energia e o sabor andino.</t>
  </si>
  <si>
    <t>2 xícaras de feijão-branco cozido
2 batatas em cubos
1 abóbora em cubos
1 espiga de milho em pedaços
1 cebola picada
2 colheres (sopa) de azeite</t>
  </si>
  <si>
    <t>Refogue cebola no azeite.
Acrescente feijão, batata, abóbora e milho.
Cozinhe até os legumes ficarem macios. Tempo: 1h | Porções: 6</t>
  </si>
  <si>
    <t>cazuela, milho, abóbora, feijão-branco, receita vegana chilena</t>
  </si>
  <si>
    <t>440 kcal | 20 g proteína | 64 g carboidratos | Ferro: 6,4 mg | Cálcio: 230 mg | Zinco: 3 mg | Ômega-3: 1.100 mg | Sódio: ~390 mg</t>
  </si>
  <si>
    <t>Sirva com pebre (molho chileno de tomate e coentro) para frescor e vitamina C.</t>
  </si>
  <si>
    <t>https://flagcdn.com/w320/cl.png</t>
  </si>
  <si>
    <t>China</t>
  </si>
  <si>
    <t>Mapo Tofu Vegano com Cogumelos</t>
  </si>
  <si>
    <t>O Mapo Tofu é um prato clássico da culinária de Sichuan, tradicionalmente picante e com carne moída. A versão vegana usa tofu firme e cogumelos.</t>
  </si>
  <si>
    <t>400 g de tofu firme em cubos
200 g de cogumelos picados
2 colheres (sopa) de pasta de feijão fermentado (doubanjiang)
1 colher (chá) de óleo de gergelim
1 cebola picada
2 dentes de alho picados</t>
  </si>
  <si>
    <t>Refogue alho e cebola no óleo.
Adicione pasta de feijão e cogumelos.
Misture o tofu e cozinhe por 10 min.
Tempo: 30 min | Porções: 4</t>
  </si>
  <si>
    <t>mapo tofu, tofu, cogumelos, doubanjiang, receita vegana chinesa</t>
  </si>
  <si>
    <t>420 kcal | 21 g proteína | 50 g carboidratos | Ferro: 6,2 mg | Cálcio: 240 mg | Zinco: 2,8 mg | Ômega-3: 1.000 mg | Sódio: ~500 mg</t>
  </si>
  <si>
    <t>Finalize com cebolinha fresca para frescor e vitamina C.</t>
  </si>
  <si>
    <t>https://flagcdn.com/w320/cn.png</t>
  </si>
  <si>
    <t>Chipre</t>
  </si>
  <si>
    <t>Moussaka Vegana de Lentilhas e Berinjela</t>
  </si>
  <si>
    <t>A Moussaka é um prato clássico cipriota e grego, feito com carne. A versão vegana usa lentilhas e berinjela.</t>
  </si>
  <si>
    <t>2 berinjelas fatiadas
1 xícara de lentilhas cozidas
2 tomates picados
1 cebola picada
1 xícara de molho branco vegano (feito com leite de soja e amido)
2 colheres (sopa) de azeite</t>
  </si>
  <si>
    <t>Grelhe as berinjelas.
Refogue cebola, tomate e lentilhas.
Monte camadas de berinjela, refogado e molho branco.
Asse a 200°C por 30 min.
Tempo: 1h10 | Porções: 6</t>
  </si>
  <si>
    <t>moussaka, berinjela, lentilhas, prato cipriota, receita vegana mediterrânea</t>
  </si>
  <si>
    <t>450 kcal | 19 g proteína | 58 g carboidratos | Ferro: 6,5 mg | Cálcio: 230 mg | Zinco: 3 mg | Ômega-3: 1.050 mg | Sódio: ~390 mg</t>
  </si>
  <si>
    <t>Sirva com salada de pepino e hortelã para digestão leve.</t>
  </si>
  <si>
    <t>https://flagcdn.com/w320/cy.png</t>
  </si>
  <si>
    <t>Cingapura</t>
  </si>
  <si>
    <t>Laksa Vegana com Tofu e Coco</t>
  </si>
  <si>
    <t>O Laksa é uma sopa de macarrão picante típica de Cingapura e Malásia. A versão vegana usa tofu e leite de coco.</t>
  </si>
  <si>
    <t>200 g de macarrão de arroz
150 g de tofu firme grelhado
1 xícara de brotos de feijão
2 colheres (sopa) de pasta de curry vermelho
1 xícara de leite de coco
1 litro de caldo de legumes</t>
  </si>
  <si>
    <t>Cozinhe o macarrão.
Misture caldo, leite de coco e pasta de curry.
Sirva com tofu e brotos.
Tempo: 40 min | Porções: 4</t>
  </si>
  <si>
    <t>laksa, macarrão de arroz, tofu, coco, receita vegana cingapurense</t>
  </si>
  <si>
    <t>(1 porção)
430 kcal | 19 g proteína | 58 g carboidratos | Ferro: 6,5 mg | Cálcio: 240 mg | Zinco: 2,9 mg | Ômega-3: 1.200 mg | Sódio: ~420 mg</t>
  </si>
  <si>
    <t>Adicione hortelã fresca para frescor e digestão.</t>
  </si>
  <si>
    <t>https://flagcdn.com/w320/sg.png</t>
  </si>
  <si>
    <t>Colômbia</t>
  </si>
  <si>
    <t>Bandeja Paisa Vegana</t>
  </si>
  <si>
    <t>A Bandeja Paisa é prato icônico da Colômbia, feito tradicionalmente com carnes e feijão. A versão vegana combina feijão vermelho, arroz integral, abacate e banana-da-terra.</t>
  </si>
  <si>
    <t>1 xícara de arroz integral
1 xícara de feijão vermelho cozido
1 banana-da-terra grelhada
1 abacate em fatias
1 cebola refogada
1 tomate picado</t>
  </si>
  <si>
    <t>Prepare arroz e feijão.
Grelhe banana-da-terra.
Monte a bandeja com todos os ingredientes.
Tempo: 50 min | Porções: 4</t>
  </si>
  <si>
    <t>bandeja paisa, feijão vermelho, banana-da-terra, abacate, receita vegana colombiana</t>
  </si>
  <si>
    <t>(1 porção)
480 kcal | 18 g proteína | 66 g carboidratos | Ferro: 6,4 mg | Cálcio: 220 mg | Zinco: 2,9 mg | Ômega-3: 1.050 mg | Sódio: ~370 mg</t>
  </si>
  <si>
    <t>Sirva com suco fresco de lulo ou maracujá para vitamina C.</t>
  </si>
  <si>
    <t>https://flagcdn.com/w320/co.png</t>
  </si>
  <si>
    <t>Comores</t>
  </si>
  <si>
    <t>Langouste à la Vanille Vegana (Tofu ao Molho de Baunilha)</t>
  </si>
  <si>
    <t>Nas Comores, o prato típico com lagosta à baunilha é refinado e festivo. A versão vegana troca a lagosta por tofu, mantendo a sofisticação.</t>
  </si>
  <si>
    <t>300 g de tofu firme em cubos
1 xícara de leite de coco
1 fava de baunilha ou 1 colher (chá) de essência
1 cebola picada
1 colher (sopa) de óleo de coco</t>
  </si>
  <si>
    <t>Refogue a cebola no óleo.
Acrescente tofu e leite de coco.
Finalize com baunilha e cozinhe 10 min.
Tempo: 30 min | Porções: 4</t>
  </si>
  <si>
    <t>langouste vegana, tofu, baunilha, prato comorense, receita vegana exótica</t>
  </si>
  <si>
    <t>(1 porção)
410 kcal | 20 g proteína | 48 g carboidratos | Ferro: 6 mg | Cálcio: 230 mg | Zinco: 2,8 mg | Ômega-3: 950 mg | Sódio: ~360 mg</t>
  </si>
  <si>
    <t>Sirva com arroz de coco para completar proteínas e calorias.</t>
  </si>
  <si>
    <t>https://flagcdn.com/w320/km.png</t>
  </si>
  <si>
    <t>Congo (Brazzaville)</t>
  </si>
  <si>
    <t>Saka-Saka Vegano (Folhas de Mandioca com Amendoim)</t>
  </si>
  <si>
    <t>O Saka-Saka é um prato típico do Congo-Brazzaville, feito com folhas de mandioca e amendoim. Tradicionalmente pode levar peixe, mas a versão vegana é 100% vegetal, rica em ferro e cálcio.</t>
  </si>
  <si>
    <t>2 xícaras de folhas de mandioca (ou couve)
1 xícara de feijão-preto cozido
3 colheres (sopa) de pasta de amendoim
1 cebola picada
2 colheres (sopa) de óleo de palma</t>
  </si>
  <si>
    <t>Refogue a cebola no óleo.
Acrescente folhas e feijão.
Misture a pasta de amendoim e cozinhe até engrossar.
Tempo: 45 min | Porções: 5</t>
  </si>
  <si>
    <t>saka-saka, folhas de mandioca, pasta de amendoim, receita vegana congolesa</t>
  </si>
  <si>
    <t>(1 porção)
430 kcal | 18 g proteína | 56 g carboidratos | Ferro: 6,5 mg | Cálcio: 220 mg | Zinco: 3 mg | Ômega-3: 1.200 mg | Sódio: ~390 mg</t>
  </si>
  <si>
    <t>Sirva com banana cozida para energia e potássio.</t>
  </si>
  <si>
    <t>https://flagcdn.com/w320/cg.png</t>
  </si>
  <si>
    <t>Congo (Kinshasa / RDC)</t>
  </si>
  <si>
    <t>Pondu Vegano (Folhas de Mandioca com Feijão)</t>
  </si>
  <si>
    <t>O Pondu é prato nacional da República Democrática do Congo, à base de folhas de mandioca. A versão vegana acrescenta feijão e óleo de palma.</t>
  </si>
  <si>
    <t>2 xícaras de folhas de mandioca
1 xícara de feijão-fradinho
2 tomates picados
1 cebola picada
2 colheres (sopa) de óleo de palma</t>
  </si>
  <si>
    <t>Refogue cebola e tomate.
Acrescente folhas de mandioca e feijão.
Cozinhe em fogo baixo até encorpar.
Tempo: 45 min | Porções: 5</t>
  </si>
  <si>
    <t>pondu, folhas de mandioca, feijão-fradinho, receita vegana da RDC</t>
  </si>
  <si>
    <t>(1 porção)
420 kcal | 17 g proteína | 55 g carboidratos | Ferro: 6,4 mg | Cálcio: 230 mg | Zinco: 3 mg | Ômega-3: 1.150 mg | Sódio: ~380 mg</t>
  </si>
  <si>
    <t>Sirva com funge de milho para um prato completo.</t>
  </si>
  <si>
    <t>https://flagcdn.com/w320/cd.png</t>
  </si>
  <si>
    <t>Coreia do Norte</t>
  </si>
  <si>
    <t>Naengmyeon Vegano (Macarrão Frio de Trigo Sarraceno)</t>
  </si>
  <si>
    <t>O Naengmyeon é uma sopa de macarrão frio típica das Coreias. A versão vegana leva macarrão de trigo sarraceno, pepino e tofu.</t>
  </si>
  <si>
    <t>200 g de macarrão de trigo sarraceno
1 pepino em tiras
150 g de tofu firme em cubos
1 cenoura em tiras
1 litro de caldo vegetal frio
2 colheres (sopa) de molho de soja</t>
  </si>
  <si>
    <t>Cozinhe o macarrão e enxágue em água fria.
Monte a tigela com legumes, tofu e caldo frio.</t>
  </si>
  <si>
    <t>naengmyeon, macarrão frio, trigo sarraceno, tofu, receita vegana coreana</t>
  </si>
  <si>
    <t>(1 porção)
400 kcal | 18 g proteína | 55 g carboidratos | Ferro: 6 mg | Cálcio: 220 mg | Zinco: 2,8 mg | Ômega-3: 950 mg | Sódio: ~400 mg</t>
  </si>
  <si>
    <t>Adicione rabanete em conserva para probióticos e vitamina C.</t>
  </si>
  <si>
    <t>https://flagcdn.com/w320/kp.png</t>
  </si>
  <si>
    <t>Coreia do Sul</t>
  </si>
  <si>
    <t>Bibimbap Vegano</t>
  </si>
  <si>
    <t>O Bibimbap é um dos pratos mais conhecidos da Coreia do Sul, servido com arroz, vegetais e ovo. A versão vegana usa tofu e pasta de gochujang.</t>
  </si>
  <si>
    <t>2 xícaras de arroz integral
1 cenoura em tiras
1 abobrinha em tiras
1 xícara de brotos de feijão
150 g de tofu firme grelhado
2 colheres (sopa) de pasta de gochujang
1 colher (sopa) de óleo de gergelim</t>
  </si>
  <si>
    <t>Cozinhe o arroz integral.
Grelhe tofu e legumes.
Monte a tigela com arroz, legumes e tofu, finalize com gochujang. Tempo: 45 min | Porções: 4</t>
  </si>
  <si>
    <t>bibimbap, arroz, tofu, gochujang, receita vegana coreana</t>
  </si>
  <si>
    <t>(1 porção)
450 kcal | 20 g proteína | 62 g carboidratos | Ferro: 6,5 mg | Cálcio: 240 mg | Zinco: 3 mg | Ômega-3: 1.200 mg | Sódio: ~420 mg</t>
  </si>
  <si>
    <t>Finalize com sementes de gergelim para cálcio e sabor extra.</t>
  </si>
  <si>
    <t>https://flagcdn.com/w320/kr.png</t>
  </si>
  <si>
    <t>Costa do Marfim</t>
  </si>
  <si>
    <t>Attiéké Vegano com Legumes e Feijão</t>
  </si>
  <si>
    <t>O Attiéké é um prato marfinense feito de mandioca fermentada, parecido com o cuscuz. A versão vegana acompanha legumes e feijão.</t>
  </si>
  <si>
    <t>2 xícaras de attiéké (cuscuz de mandioca)
1 xícara de feijão-fradinho cozido
1 cenoura em cubos
1 pimentão em tiras
1 cebola picada
2 colheres (sopa) de óleo vegetal</t>
  </si>
  <si>
    <t>Hidrate o attiéké no vapor.
Refogue legumes e junte feijão.
Misture com o cuscuz de mandioca.
Tempo: 35 min | Porções: 5</t>
  </si>
  <si>
    <t>attiéké, mandioca fermentada, feijão-fradinho, receita vegana marfinense</t>
  </si>
  <si>
    <t>(1 porção)
420 kcal | 17 g proteína | 62 g carboidratos | Ferro: 6,2 mg | Cálcio: 210 mg | Zinco: 2,8 mg | Ômega-3: 1.050 mg | Sódio: ~370 mg</t>
  </si>
  <si>
    <t>Sirva com salada de tomate e limão para vitamina C.</t>
  </si>
  <si>
    <t>https://flagcdn.com/w320/ci.png</t>
  </si>
  <si>
    <t>Costa Rica</t>
  </si>
  <si>
    <t>Gallo Pinto Vegano</t>
  </si>
  <si>
    <t>O Gallo Pinto é o prato mais emblemático da Costa Rica, feito com arroz e feijão. É naturalmente vegano, nutritivo e simples.</t>
  </si>
  <si>
    <t>2 xícaras de arroz integral cozido
1 xícara de feijão-preto cozido
1 cebola picada
1 pimentão picado
2 colheres (sopa) de óleo vegetal
Coentro fresco a gosto</t>
  </si>
  <si>
    <t>Refogue cebola e pimentão no óleo.
Junte arroz e feijão.
Finalize com coentro fresco. Tempo: 30 min | Porções: 4</t>
  </si>
  <si>
    <t>gallo pinto, arroz, feijão-preto, receita vegana costa-riquenha</t>
  </si>
  <si>
    <t>(1 porção)
410 kcal | 16 g proteína | 62 g carboidratos | Ferro: 6 mg | Cálcio: 200 mg | Zinco: 2,7 mg | Ômega-3: 950 mg | Sódio: ~360 mg</t>
  </si>
  <si>
    <t>Sirva com banana-da-terra frita para tradição e energia.</t>
  </si>
  <si>
    <t>https://flagcdn.com/w320/cr.png</t>
  </si>
  <si>
    <t>Croácia</t>
  </si>
  <si>
    <t>Grah Vegano (Ensopado de Feijão com Páprica)</t>
  </si>
  <si>
    <t>O Grah é um ensopado tradicional da Croácia, feito com feijão e carne de porco. A versão vegana usa apenas feijão e vegetais, mantendo o sabor.</t>
  </si>
  <si>
    <t>2 xícaras de feijão-branco cozido
1 cenoura em cubos
1 batata em cubos
1 cebola picada
1 colher (sopa) de páprica doce
2 colheres (sopa) de azeite</t>
  </si>
  <si>
    <t>Refogue cebola no azeite.
Acrescente cenoura, batata e feijão.
Tempere com páprica e cozinhe até engrossar. Tempo: 1h | Porções: 5</t>
  </si>
  <si>
    <t>grah, feijão, páprica, receita vegana croata</t>
  </si>
  <si>
    <t>(1 porção)
420 kcal | 18 g proteína | 60 g carboidratos | Ferro: 6,3 mg | Cálcio: 210 mg | Zinco: 2,9 mg | Ômega-3: 1.000 mg | Sódio: ~380 mg</t>
  </si>
  <si>
    <t>Sirva com pão integral para completar proteínas.</t>
  </si>
  <si>
    <t>https://flagcdn.com/w320/hr.png</t>
  </si>
  <si>
    <t>Cuba</t>
  </si>
  <si>
    <t>Moros y Cristianos Vegano</t>
  </si>
  <si>
    <t>O Moros y Cristianos é prato tradicional cubano, feito com arroz e feijão-preto. É naturalmente vegano e altamente nutritivo.</t>
  </si>
  <si>
    <t>2 xícaras de arroz integral
1 xícara de feijão-preto cozido
1 cebola picada
1 pimentão verde picado
2 colheres (sopa) de óleo vegetal
Alho e cominho a gosto</t>
  </si>
  <si>
    <t>Refogue cebola, pimentão e alho.
Junte arroz e feijão-preto.
Cozinhe até o arroz ficar macio.
Tempo: 45 min | Porções: 6</t>
  </si>
  <si>
    <t>moros y cristianos, arroz, feijão-preto, receita vegana cubana</t>
  </si>
  <si>
    <t>(1 porção)
430 kcal | 17 g proteína | 66 g carboidratos | Ferro: 6,4 mg | Cálcio: 210 mg | Zinco: 2,8 mg | Ômega-3: 1.050 mg | Sódio: ~380 mg</t>
  </si>
  <si>
    <t>Sirva com abacate fresco para gorduras boas e absorção de nutrientes.</t>
  </si>
  <si>
    <t>https://flagcdn.com/w320/cu.png</t>
  </si>
  <si>
    <t>Dinamarca</t>
  </si>
  <si>
    <t>Smørrebrød Vegano com Tofu Defumado</t>
  </si>
  <si>
    <t>O Smørrebrød é um sanduíche aberto típico da Dinamarca. A versão vegana combina pão integral, tofu defumado e vegetais frescos.</t>
  </si>
  <si>
    <t>4 fatias de pão integral de centeio
200 g de tofu defumado fatiado
1 pepino em rodelas
1 tomate em fatias
1 colher (sopa) de mostarda dijon vegana
Endro fresco para decorar</t>
  </si>
  <si>
    <t>Torre levemente o pão de centeio.
Passe mostarda, coloque tofu, pepino e tomate.
Decore com endro fresco.
Tempo: 20 min | Porções: 4</t>
  </si>
  <si>
    <t>smørrebrød, pão de centeio, tofu defumado, receita vegana dinamarquesa</t>
  </si>
  <si>
    <t>380 kcal | 20 g proteína | 48 g carboidratos | Ferro: 5,8 mg | Cálcio: 220 mg | Zinco: 2,7 mg | Ômega-3: 900 mg | Sódio: ~370 mg</t>
  </si>
  <si>
    <t>Sirva com salada de beterraba para ferro extra.</t>
  </si>
  <si>
    <t>https://flagcdn.com/w320/dk.png</t>
  </si>
  <si>
    <t>Djibouti</t>
  </si>
  <si>
    <t>Skoudehkaris Vegano (Arroz Apimentado com Lentilhas)</t>
  </si>
  <si>
    <t>O Skoudehkaris é o prato nacional de Djibouti, tradicionalmente feito com carne. A versão vegana leva lentilhas e especiarias.</t>
  </si>
  <si>
    <t>2 xícaras de arroz basmati
1 xícara de lentilhas cozidas
1 cebola picada
2 tomates picados
2 colheres (sopa) de azeite
Especiarias: cardamomo, canela, cravo</t>
  </si>
  <si>
    <t>Refogue cebola, tomate e especiarias.
Junte arroz, lentilhas e água.
Cozinhe até secar.
Tempo: 50 min | Porções: 6</t>
  </si>
  <si>
    <t>skoudehkaris, arroz apimentado, lentilhas, receita vegana de Djibouti</t>
  </si>
  <si>
    <t>(1 porção)
430 kcal | 17 g proteína | 66 g carboidratos | Ferro: 6,3 mg | Cálcio: 210 mg | Zinco: 2,8 mg | Ômega-3: 1.000 mg | Sódio: ~380 mg</t>
  </si>
  <si>
    <t>Sirva com molho de pimenta fresca para vitamina C.</t>
  </si>
  <si>
    <t>https://flagcdn.com/w320/dj.png</t>
  </si>
  <si>
    <t>Dominica</t>
  </si>
  <si>
    <t>Callaloo Vegano (Sopa de Folhas com Coco)</t>
  </si>
  <si>
    <t>O Callaloo é uma sopa típica do Caribe, preparada com folhas verdes, leite de coco e temperos locais.</t>
  </si>
  <si>
    <t>2 xícaras de folhas de taro (ou espinafre)
1 xícara de leite de coco
1 cebola picada
2 tomates picados
1 colher (sopa) de óleo de coco
Pimenta a gosto</t>
  </si>
  <si>
    <t>Refogue cebola e tomate no óleo.
Acrescente folhas e leite de coco.
Cozinhe até engrossar.
Tempo: 35 min | Porções: 5</t>
  </si>
  <si>
    <t>callaloo, folhas verdes, coco, receita vegana de Dominica</t>
  </si>
  <si>
    <t>(1 porção)
420 kcal | 14 g proteína | 54 g carboidratos | Ferro: 6 mg | Cálcio: 230 mg | Zinco: 2,6 mg | Ômega-3: 950 mg | Sódio: ~360 mg</t>
  </si>
  <si>
    <t>https://flagcdn.com/w320/dm.png</t>
  </si>
  <si>
    <t>Egito</t>
  </si>
  <si>
    <t>Koshari Vegano (Arroz, Lentilhas e Macarrão)</t>
  </si>
  <si>
    <t>O Koshari é o prato nacional do Egito, naturalmente vegano, feito com arroz, lentilhas, grão-de-bico e macarrão.</t>
  </si>
  <si>
    <t>1 xícara de arroz
1 xícara de lentilhas marrons
1 xícara de macarrão curto
1/2 xícara de grão-de-bico cozido
1 cebola grande frita até dourar
Molho de tomate temperado com alho e cominho</t>
  </si>
  <si>
    <t>Cozinhe arroz, lentilhas e macarrão separadamente.
Misture todos os grãos.
Sirva com molho de tomate e cebola frita.
Tempo: 1h | Porções: 6</t>
  </si>
  <si>
    <t>koshari, arroz, lentilhas, grão-de-bico, receita vegana egípcia</t>
  </si>
  <si>
    <t>(1 porção)
480 kcal | 21 g proteína | 72 g carboidratos | Ferro: 6,8 mg | Cálcio: 220 mg | Zinco: 3 mg | Ômega-3: 1.100 mg | Sódio: ~400 mg</t>
  </si>
  <si>
    <t>Sirva com salada de pepino com limão para refrescar e ajudar na absorção do ferro.</t>
  </si>
  <si>
    <t>https://flagcdn.com/w320/eg.png</t>
  </si>
  <si>
    <t>El Salvador</t>
  </si>
  <si>
    <t>Pupusas Veganas Recheadas com Feijão e Queijo de Caju</t>
  </si>
  <si>
    <t>As Pupusas são o prato nacional de El Salvador, tortillas recheadas. A versão vegana usa feijão e queijo de caju caseiro.</t>
  </si>
  <si>
    <t>2 xícaras de massa de milho (masa harina)
1 xícara de feijão-refrito vegano
1/2 xícara de queijo de caju
Água e sal</t>
  </si>
  <si>
    <t>Prepare a massa de milho com água e sal.
Recheie com feijão e queijo.
Asse ou grelhe até dourar.
Tempo: 40 min | Porções: 6</t>
  </si>
  <si>
    <t>pupusa, massa de milho, feijão, queijo de caju, receita vegana salvadorenha</t>
  </si>
  <si>
    <t>(1 porção)
380 kcal | 13 g proteína | 56 g carboidratos | Ferro: 5,9 mg | Cálcio: 210 mg | Zinco: 2,7 mg | Ômega-3: 900 mg | Sódio: ~370 mg</t>
  </si>
  <si>
    <t>Sirva com curtido (conserva de repolho e cenoura) para probióticos.</t>
  </si>
  <si>
    <t>https://flagcdn.com/w320/sv.png</t>
  </si>
  <si>
    <t>Emirados Árabes Unidos</t>
  </si>
  <si>
    <t>O Harees é prato tradicional dos Emirados, feito com trigo e carne. A versão vegana é feita com lentilhas vermelhas e especiarias.</t>
  </si>
  <si>
    <t>1 xícara de trigo em grãos
1 xícara de lentilhas vermelhas
1 cebola picada
2 colheres (sopa) de azeite
Canela, cominho e cardamomo</t>
  </si>
  <si>
    <t>Cozinhe trigo e lentilhas até ficarem macios.
Misture com azeite e especiarias.
Tempo: 1h10 | Porções: 5</t>
  </si>
  <si>
    <t>harees, trigo, lentilhas, especiarias árabes, receita vegana dos Emirados</t>
  </si>
  <si>
    <t>Finalize com limão fresco espremido para absorção de ferro.</t>
  </si>
  <si>
    <t>https://flagcdn.com/w320/ae.png</t>
  </si>
  <si>
    <t>Equador</t>
  </si>
  <si>
    <t>Seco de Seitan com Arroz e Abacate</t>
  </si>
  <si>
    <t>O Seco é um ensopado equatoriano feito com carne. A versão vegana substitui por seitan, servido com arroz e abacate.</t>
  </si>
  <si>
    <t>300 g de seitan em cubos
2 tomates picados
1 cebola picada
1 pimentão em tiras
1 colher (sopa) de óleo vegetal
Coentro fresco</t>
  </si>
  <si>
    <t>Refogue cebola e tomate.
Adicione seitan e pimentão.
Cozinhe até engrossar e finalize com coentro. Tempo: 45 min | Porções: 4</t>
  </si>
  <si>
    <t>seco, seitan, arroz, abacate, receita vegana equatoriana</t>
  </si>
  <si>
    <t>(1 porção)
460 kcal | 28 g proteína | 58 g carboidratos | Ferro: 6,7 mg | Cálcio: 220 mg | Zinco: 3 mg | Ômega-3: 1.050 mg | Sódio: ~390 mg</t>
  </si>
  <si>
    <t>Sirva com abacate fresco para gorduras boas.</t>
  </si>
  <si>
    <t>https://flagcdn.com/w320/ec.png</t>
  </si>
  <si>
    <t>Eritreia</t>
  </si>
  <si>
    <t>Zigni Vegano</t>
  </si>
  <si>
    <t>Ensopado de lentilhas com tempero berbere, tradicional da Eritreia.</t>
  </si>
  <si>
    <t>1 xícara lentilhas vermelhas; 2 tomates; 1 cebola; 2 colheres sopa pasta de tomate; 2 colheres sopa azeite; 1 colher sopa tempero berbere</t>
  </si>
  <si>
    <t>Refogue cebola e tomate no azeite. Acrescente a pasta de tomate e o berbere. Junte as lentilhas e cozinhe até engrossar.</t>
  </si>
  <si>
    <t>lentilhas vermelhas, berbere, tomate, cebola, azeite</t>
  </si>
  <si>
    <t>410 kcal | 19g proteína | 56g carboidratos | Ferro 6,5mg | Cálcio 210mg | Zinco 2,9mg | Ômega-3 950mg | Sódio 380mg</t>
  </si>
  <si>
    <t>Sirva com injera (pão de teff) para complementar proteínas e cálcio.</t>
  </si>
  <si>
    <t>https://flagcdn.com/w320/er.png</t>
  </si>
  <si>
    <t>Eslováquia</t>
  </si>
  <si>
    <t>Kapustnica Vegana</t>
  </si>
  <si>
    <t>Sopa de repolho fermentado típica da Eslováquia, cheia de probióticos.</t>
  </si>
  <si>
    <t>2 xícaras chucrute; 1 batata; 1 cenoura; 1 cebola; 2 colheres sopa azeite; páprica doce</t>
  </si>
  <si>
    <t>Refogue cebola no azeite. Adicione batata, cenoura e chucrute. Tempere com páprica e cozinhe até amaciar.</t>
  </si>
  <si>
    <t>chucrute, batata, cenoura, cebola, azeite, páprica</t>
  </si>
  <si>
    <t>390 kcal | 13g proteína | 55g carboidratos | Ferro 5,7mg | Cálcio 200mg | Zinco 2,5mg | Ômega-3 900mg | Sódio 400mg</t>
  </si>
  <si>
    <t>Sirva com pão integral de centeio para fibras extras.</t>
  </si>
  <si>
    <t>https://flagcdn.com/w320/sk.png</t>
  </si>
  <si>
    <t>Eslovênia</t>
  </si>
  <si>
    <t>Jota Vegana</t>
  </si>
  <si>
    <t>Ensopado de feijão e chucrute típico da Eslovênia.</t>
  </si>
  <si>
    <t>2 xícaras feijão-branco; 1 xícara chucrute; 1 batata; 1 cebola; 2 colheres sopa azeite; louro</t>
  </si>
  <si>
    <t>Refogue cebola no azeite. Acrescente batata, feijão e chucrute. Cozinhe até engrossar.</t>
  </si>
  <si>
    <t>feijão-branco, chucrute, batata, cebola, azeite, louro</t>
  </si>
  <si>
    <t>420 kcal | 17g proteína | 58g carboidratos | Ferro 6,1mg | Cálcio 220mg | Zinco 2,8mg | Ômega-3 1000mg | Sódio 390mg</t>
  </si>
  <si>
    <t>Sirva com azeite extra virgem cru para aumentar absorção de antioxidantes.</t>
  </si>
  <si>
    <t>https://flagcdn.com/w320/si.png</t>
  </si>
  <si>
    <t>Espanha</t>
  </si>
  <si>
    <t>Paella Vegana</t>
  </si>
  <si>
    <t>Versão vegana da paella espanhola, feita com grão-de-bico e legumes.</t>
  </si>
  <si>
    <t>2 xícaras arroz bomba; 1 xícara grão-de-bico; 1 pimentão; 1 abobrinha; 1 cebola; 2 tomates; açafrão; páprica</t>
  </si>
  <si>
    <t>Refogue cebola, pimentão e tomate. Acrescente arroz, açafrão e água. Adicione legumes e grão-de-bico e cozinhe até secar.</t>
  </si>
  <si>
    <t>arroz, grão-de-bico, pimentão, abobrinha, cebola, tomate, açafrão, páprica</t>
  </si>
  <si>
    <t>470 kcal | 18g proteína | 70g carboidratos | Ferro 6,5mg | Cálcio 220mg | Zinco 2,9mg | Ômega-3 1050mg | Sódio 400mg</t>
  </si>
  <si>
    <t>Finalize com limão espremido e salsa fresca para vitamina C.</t>
  </si>
  <si>
    <t>https://flagcdn.com/w320/es.png</t>
  </si>
  <si>
    <t>Estados Unidos</t>
  </si>
  <si>
    <t>Mac and Cheese Vegano</t>
  </si>
  <si>
    <t>Prato clássico americano, adaptado com creme de batata, cenoura e caju.</t>
  </si>
  <si>
    <t>300g macarrão; 1 batata; 1 cenoura; 1/2 xícara castanha de caju; 2 colheres sopa levedura nutricional; 2 colheres sopa azeite</t>
  </si>
  <si>
    <t>Bata batata, cenoura, caju e levedura até formar creme. Misture ao macarrão cozido.</t>
  </si>
  <si>
    <t>macarrão, batata, cenoura, castanha de caju, levedura nutricional, azeite</t>
  </si>
  <si>
    <t>460 kcal | 16g proteína | 64g carboidratos | Ferro 6,1mg | Cálcio 210mg | Zinco 2,7mg | Ômega-3 950mg | Sódio 380mg</t>
  </si>
  <si>
    <t>Adicione brócolis cozido no vapor para fibras e cálcio.</t>
  </si>
  <si>
    <t>https://flagcdn.com/w320/us.png</t>
  </si>
  <si>
    <t>Estônia</t>
  </si>
  <si>
    <t>Rosolje Vegano</t>
  </si>
  <si>
    <t>Salada tradicional estoniana de beterraba, adaptada com grão-de-bico.</t>
  </si>
  <si>
    <t>2 beterrabas; 1 batata; 1 cenoura; 1 xícara grão-de-bico; 1/4 xícara maionese vegana</t>
  </si>
  <si>
    <t>Cozinhe batata e cenoura. Misture todos os ingredientes. Tempere com sal e limão.</t>
  </si>
  <si>
    <t>beterraba, batata, cenoura, grão-de-bico, maionese vegana</t>
  </si>
  <si>
    <t>380 kcal | 14g proteína | 52g carboidratos | Ferro 5,9mg | Cálcio 200mg | Zinco 2,6mg | Ômega-3 900mg | Sódio 370mg</t>
  </si>
  <si>
    <t>Sirva com endro fresco para tradição e sabor extra.</t>
  </si>
  <si>
    <t>https://flagcdn.com/w320/ee.png</t>
  </si>
  <si>
    <t>Etiópia</t>
  </si>
  <si>
    <t>Misir Wat Vegano</t>
  </si>
  <si>
    <t>Ensopado etíope de lentilhas vermelhas com tempero berbere, rico em ferro.</t>
  </si>
  <si>
    <t>1 xícara lentilhas vermelhas; 2 cebolas; 2 tomates; 2 colheres sopa pasta de tomate; 2 colheres sopa óleo; 1 colher sopa berbere</t>
  </si>
  <si>
    <t>Refogue cebola e tomate no óleo. Acrescente a pasta de tomate e berbere. Junte lentilhas e cozinhe até engrossar.</t>
  </si>
  <si>
    <t>lentilhas vermelhas, cebola, tomate, pasta de tomate, berbere, óleo</t>
  </si>
  <si>
    <t>420 kcal | 19g proteína | 58g carboidratos | Ferro 6,6mg | Cálcio 220mg | Zinco 2,9mg | Ômega-3 1000mg | Sódio 380mg</t>
  </si>
  <si>
    <t>Sirva com injera de teff, que fornece cálcio, ferro e fibras extras.</t>
  </si>
  <si>
    <t>https://flagcdn.com/w320/et.png</t>
  </si>
  <si>
    <t>Granada</t>
  </si>
  <si>
    <t>Oildown Vegano</t>
  </si>
  <si>
    <t>Prato nacional de Granada, guisado cremoso de coco, tradicionalmente com carne. A versão vegana usa vegetais e grão-de-bico.</t>
  </si>
  <si>
    <t>1 xícara grão-de-bico; 1 batata-doce; 1 cenoura; 1 pimentão; 1 xícara leite de coco; 2 colheres sopa óleo de coco</t>
  </si>
  <si>
    <t>Cozinhe legumes com leite de coco e grão-de-bico até engrossar.</t>
  </si>
  <si>
    <t>grão-de-bico, batata-doce, cenoura, pimentão, coco</t>
  </si>
  <si>
    <t>470 kcal | 18g proteína | 64g carboidratos | Ferro 6,3mg | Cálcio 220mg | Zinco 3mg | Ômega-3 1050mg | Sódio 390mg</t>
  </si>
  <si>
    <t>Sirva com arroz integral ou pão local.</t>
  </si>
  <si>
    <t>https://flagcdn.com/w320/gd.png</t>
  </si>
  <si>
    <t>Guatemala</t>
  </si>
  <si>
    <t>Fiambre Vegano</t>
  </si>
  <si>
    <t>Prato festivo guatemalteco, salada colorida de legumes e grão-de-bico.</t>
  </si>
  <si>
    <t>1 xícara grão-de-bico; 1 beterraba; 1 cenoura; 1 pepino; 1 xícara repolho; vinagre; azeite</t>
  </si>
  <si>
    <t>Corte legumes em tiras, cozinhe levemente e misture com grão-de-bico, temperando com azeite e vinagre.</t>
  </si>
  <si>
    <t>grão-de-bico, beterraba, cenoura, pepino, repolho</t>
  </si>
  <si>
    <t>380 kcal | 14g proteína | 54g carboidratos | Ferro 5,9mg | Cálcio 200mg | Zinco 2,6mg | Ômega-3 950mg | Sódio 370mg</t>
  </si>
  <si>
    <t>Acompanhe com tortillas de milho.</t>
  </si>
  <si>
    <t>https://flagcdn.com/w320/gt.png</t>
  </si>
  <si>
    <t>Guiné</t>
  </si>
  <si>
    <t>Poulet Yassa Vegano</t>
  </si>
  <si>
    <t>Versão sem carne do prato popular guineense feito com molho de cebolas.</t>
  </si>
  <si>
    <t>200g tofu; 2 cebolas grandes; 2 tomates; 2 colheres sopa óleo; suco de 1 limão</t>
  </si>
  <si>
    <t>Refogue cebola no óleo, adicione tomate e tofu. Tempere com limão e cozinhe até engrossar.</t>
  </si>
  <si>
    <t>tofu, cebola, tomate, limão, óleo</t>
  </si>
  <si>
    <t>420 kcal | 22g proteína | 55g carboidratos | Ferro 6,2mg | Cálcio 220mg | Zinco 3mg | Ômega-3 950mg | Sódio 380mg</t>
  </si>
  <si>
    <t>Sirva com arroz branco ou integral.</t>
  </si>
  <si>
    <t>https://flagcdn.com/w320/gn.png</t>
  </si>
  <si>
    <t>Guiné-Bissau</t>
  </si>
  <si>
    <t>Caldo de Mancarra Vegano</t>
  </si>
  <si>
    <t>Prato guineense feito com pasta de amendoim e vegetais.</t>
  </si>
  <si>
    <t>1 xícara pasta de amendoim; 1 berinjela; 1 cenoura; 1 batata; 1 cebola; 2 tomates</t>
  </si>
  <si>
    <t>Cozinhe legumes em água, acrescente pasta de amendoim e cozinhe até engrossar.</t>
  </si>
  <si>
    <t>amendoim, berinjela, cenoura, batata, cebola, tomate</t>
  </si>
  <si>
    <t>460 kcal | 16g proteína | 60g carboidratos | Ferro 6,4mg | Cálcio 210mg | Zinco 2,9mg | Ômega-3 1000mg | Sódio 390mg</t>
  </si>
  <si>
    <t>Sirva com arroz de coco.</t>
  </si>
  <si>
    <t>https://flagcdn.com/w320/gw.png</t>
  </si>
  <si>
    <t>Guiné Equatorial</t>
  </si>
  <si>
    <t>Peixe de Coco Vegano</t>
  </si>
  <si>
    <t>Versão vegana do prato típico com peixe ao molho de coco.</t>
  </si>
  <si>
    <t>200g tofu firme; 1 xícara leite de coco; 1 cebola; 1 tomate; 2 colheres sopa óleo de coco</t>
  </si>
  <si>
    <t>Refogue cebola e tomate, adicione tofu e leite de coco, cozinhe até engrossar.</t>
  </si>
  <si>
    <t>tofu, coco, cebola, tomate, óleo</t>
  </si>
  <si>
    <t>410 kcal | 20g proteína | 50g carboidratos | Ferro 6mg | Cálcio 230mg | Zinco 2,8mg | Ômega-3 950mg | Sódio 360mg</t>
  </si>
  <si>
    <t>Acompanhe com mandioca cozida.</t>
  </si>
  <si>
    <t>https://flagcdn.com/w320/gq.png</t>
  </si>
  <si>
    <t>Guiana</t>
  </si>
  <si>
    <t>Cook-Up Rice Vegano</t>
  </si>
  <si>
    <t>Prato guianense de arroz, feijão e coco.</t>
  </si>
  <si>
    <t>1 xícara arroz; 1 xícara feijão-preto; 1 xícara leite de coco; 1 cebola; 2 tomates</t>
  </si>
  <si>
    <t>Refogue cebola e tomate, adicione arroz, feijão e leite de coco. Cozinhe até macio.</t>
  </si>
  <si>
    <t>arroz, feijão-preto, coco, cebola, tomate</t>
  </si>
  <si>
    <t>440 kcal | 17g proteína | 64g carboidratos | Ferro 6,2mg | Cálcio 220mg | Zinco 2,9mg | Ômega-3 1000mg | Sódio 370mg</t>
  </si>
  <si>
    <t>Sirva com abacate fresco.</t>
  </si>
  <si>
    <t>https://flagcdn.com/w320/gy.png</t>
  </si>
  <si>
    <t>Haiti</t>
  </si>
  <si>
    <t>Griot Vegano</t>
  </si>
  <si>
    <t>Versão sem carne do prato haitiano de carne frita, aqui feito com jaca verde.</t>
  </si>
  <si>
    <t>2 xícaras jaca verde cozida e desfiada; 2 cebolas; 2 tomates; 2 colheres sopa óleo; suco de limão</t>
  </si>
  <si>
    <t>Tempere jaca com limão, refogue com cebola e tomate. Frite levemente em óleo até dourar.</t>
  </si>
  <si>
    <t>jaca verde, cebola, tomate, limão, óleo</t>
  </si>
  <si>
    <t>430 kcal | 15g proteína | 58g carboidratos | Ferro 6,1mg | Cálcio 210mg | Zinco 2,8mg | Ômega-3 950mg | Sódio 380mg</t>
  </si>
  <si>
    <t>Acompanhe com arroz e feijão.</t>
  </si>
  <si>
    <t>https://flagcdn.com/w320/ht.png</t>
  </si>
  <si>
    <t>Holanda</t>
  </si>
  <si>
    <t>Stamppot Vegano</t>
  </si>
  <si>
    <t>Prato típico holandês de batata amassada com couve.</t>
  </si>
  <si>
    <t>4 batatas grandes; 2 xícaras couve picada; 1 cebola; 2 colheres sopa azeite</t>
  </si>
  <si>
    <t>Cozinhe batatas até macias, amasse e misture com couve refogada e cebola.</t>
  </si>
  <si>
    <t>batata, couve, cebola, azeite</t>
  </si>
  <si>
    <t>400 kcal | 12g proteína | 58g carboidratos | Ferro 5,8mg | Cálcio 220mg | Zinco 2,6mg | Ômega-3 900mg | Sódio 360mg</t>
  </si>
  <si>
    <t>Sirva com mostarda.</t>
  </si>
  <si>
    <t>https://flagcdn.com/w320/nl.png</t>
  </si>
  <si>
    <t>Hungria</t>
  </si>
  <si>
    <t>Gulyás Vegano</t>
  </si>
  <si>
    <t>Versão sem carne do famoso goulash húngaro.</t>
  </si>
  <si>
    <t>2 xícaras batata em cubos; 1 xícara cenoura; 1 cebola; 2 tomates; 1 colher sopa páprica doce; 2 colheres sopa azeite</t>
  </si>
  <si>
    <t>Refogue cebola no azeite, adicione legumes e páprica, cozinhe até engrossar.</t>
  </si>
  <si>
    <t>batata, cenoura, cebola, tomate, páprica, azeite</t>
  </si>
  <si>
    <t>450 kcal | 14g proteína | 62g carboidratos | Ferro 6,3mg | Cálcio 210mg | Zinco 2,8mg | Ômega-3 950mg | Sódio 380mg</t>
  </si>
  <si>
    <t>Acompanhe com pão integral.</t>
  </si>
  <si>
    <t>https://flagcdn.com/w320/hu.png</t>
  </si>
  <si>
    <t>Islândia</t>
  </si>
  <si>
    <t>Kjötsúpa Vegana</t>
  </si>
  <si>
    <t>Versão sem carne da sopa islandesa feita com cordeiro e legumes, aqui adaptada com lentilhas.</t>
  </si>
  <si>
    <t>1 xícara lentilhas verdes; 2 batatas em cubos; 2 cenouras em rodelas; 1 nabo em cubos; 1 cebola picada; 2 colheres sopa azeite</t>
  </si>
  <si>
    <t>Cozinhe lentilhas e legumes em água temperada até ficarem macios.</t>
  </si>
  <si>
    <t>cebola, batata, cenoura, nabo, lentilhas, azeite</t>
  </si>
  <si>
    <t>420 kcal | 20g proteína | 60g carboidratos | Ferro 6,3mg | Cálcio 220mg | Zinco 2,8mg | Ômega-3 950mg | Sódio 370mg</t>
  </si>
  <si>
    <t>Sirva com pão de centeio islandês (rúgbrauð).</t>
  </si>
  <si>
    <t>https://flagcdn.com/w320/is.png</t>
  </si>
  <si>
    <t>Índia</t>
  </si>
  <si>
    <t>Chana Masala Vegano</t>
  </si>
  <si>
    <t>Prato indiano clássico feito com grão-de-bico e especiarias.</t>
  </si>
  <si>
    <t>2 xícaras grão-de-bico; 2 tomates; 1 cebola; 2 colheres sopa óleo; 1 colher chá garam masala; coentro fresco</t>
  </si>
  <si>
    <t>Cozinhe grão-de-bico, refogue cebola, adicione tomate e especiarias. Misture e finalize com coentro.</t>
  </si>
  <si>
    <t>grão-de-bico, tomate, cebola, garam masala, óleo, coentro</t>
  </si>
  <si>
    <t>440 kcal | 20g proteína | 62g carboidratos | Ferro 6,8mg | Cálcio 230mg | Zinco 3mg | Ômega-3 1000mg | Sódio 380mg</t>
  </si>
  <si>
    <t>Acompanhe com arroz basmati.</t>
  </si>
  <si>
    <t>https://flagcdn.com/w320/in.png</t>
  </si>
  <si>
    <t>Indonésia</t>
  </si>
  <si>
    <t>Gado-Gado Vegano</t>
  </si>
  <si>
    <t>Salada indonésia com legumes, tofu e molho de amendoim.</t>
  </si>
  <si>
    <t>200g tofu firme grelhado; 1 batata; 1 cenoura; 1 pepino; 1 xícara brotos de feijão; 1/2 xícara molho de amendoim</t>
  </si>
  <si>
    <t>Cozinhe batata e cenoura. Monte prato com legumes, tofu e molho de amendoim.</t>
  </si>
  <si>
    <t>tofu, batata, cenoura, pepino, brotos de feijão, molho de amendoim</t>
  </si>
  <si>
    <t>450 kcal | 23g proteína | 56g carboidratos | Ferro 6,5mg | Cálcio 220mg | Zinco 3mg | Ômega-3 1050mg | Sódio 390mg</t>
  </si>
  <si>
    <t>Finalize com limão fresco.</t>
  </si>
  <si>
    <t>https://flagcdn.com/w320/id.png</t>
  </si>
  <si>
    <t>Irã</t>
  </si>
  <si>
    <t>Fesenjan Vegano</t>
  </si>
  <si>
    <t>Ensopado persa feito com nozes e romã, adaptado sem carne.</t>
  </si>
  <si>
    <t>1 xícara nozes trituradas; 1 xícara suco de romã; 1 cebola; 1 cenoura; 2 colheres sopa azeite; especiarias</t>
  </si>
  <si>
    <t>Cozinhe nozes, suco de romã e legumes em fogo baixo até engrossar.</t>
  </si>
  <si>
    <t>nozes, romã, cebola, cenoura, azeite, especiarias</t>
  </si>
  <si>
    <t>480 kcal | 15g proteína | 52g carboidratos | Ferro 6,4mg | Cálcio 220mg | Zinco 2,9mg | Ômega-3 1000mg | Sódio 370mg</t>
  </si>
  <si>
    <t>Sirva com arroz persa basmati.</t>
  </si>
  <si>
    <t>https://flagcdn.com/w320/ir.png</t>
  </si>
  <si>
    <t>Iraque</t>
  </si>
  <si>
    <t>Masgouf Vegano</t>
  </si>
  <si>
    <t>Versão sem peixe do prato nacional iraquiano, adaptada com berinjela grelhada.</t>
  </si>
  <si>
    <t>2 berinjelas grandes; 2 tomates; 1 cebola; 2 colheres sopa azeite; suco de limão</t>
  </si>
  <si>
    <t>Grelhe berinjelas, refogue tomate e cebola, junte ao prato e tempere com limão.</t>
  </si>
  <si>
    <t>berinjela, tomate, cebola, azeite, limão</t>
  </si>
  <si>
    <t>390 kcal | 12g proteína | 54g carboidratos | Ferro 5,9mg | Cálcio 210mg | Zinco 2,7mg | Ômega-3 900mg | Sódio 360mg</t>
  </si>
  <si>
    <t>Sirva com pão árabe.</t>
  </si>
  <si>
    <t>https://flagcdn.com/w320/iq.png</t>
  </si>
  <si>
    <t>Irlanda</t>
  </si>
  <si>
    <t>Colcannon Vegano</t>
  </si>
  <si>
    <t>Purê de batata com couve, prato típico da Irlanda.</t>
  </si>
  <si>
    <t>4 batatas grandes; 2 xícaras couve picada; 2 colheres sopa azeite; 1 cebola picada</t>
  </si>
  <si>
    <t>Cozinhe batata até macia, amasse e misture com couve refogada e cebola.</t>
  </si>
  <si>
    <t>400 kcal | 10g proteína | 58g carboidratos | Ferro 5,7mg | Cálcio 220mg | Zinco 2,6mg | Ômega-3 900mg | Sódio 360mg</t>
  </si>
  <si>
    <t>Acompanhe com pão integral irlandês.</t>
  </si>
  <si>
    <t>https://flagcdn.com/w320/ie.png</t>
  </si>
  <si>
    <t>Israel</t>
  </si>
  <si>
    <t>Shakshuka Vegana</t>
  </si>
  <si>
    <t>Versão sem ovos da shakshuka israelense, usando tofu esfarelado.</t>
  </si>
  <si>
    <t>200g tofu firme esfarelado; 2 tomates; 1 pimentão; 1 cebola; 2 colheres sopa azeite; cominho</t>
  </si>
  <si>
    <t>Refogue cebola e pimentão, adicione tomate e tofu, tempere com cominho.</t>
  </si>
  <si>
    <t>tofu, tomate, pimentão, cebola, azeite, cominho</t>
  </si>
  <si>
    <t>430 kcal | 21g proteína | 56g carboidratos | Ferro 6,3mg | Cálcio 230mg | Zinco 2,9mg | Ômega-3 950mg | Sódio 380mg</t>
  </si>
  <si>
    <t>Sirva com pão pita.</t>
  </si>
  <si>
    <t>https://flagcdn.com/w320/il.png</t>
  </si>
  <si>
    <t>Itália</t>
  </si>
  <si>
    <t>Risotto Vegano de Cogumelos</t>
  </si>
  <si>
    <t>Versão sem laticínios do risoto italiano, feita com cogumelos e levedura nutricional.</t>
  </si>
  <si>
    <t>1 xícara arroz arbóreo; 200g cogumelos; 1 cebola; 2 colheres sopa azeite; 2 colheres sopa levedura nutricional; caldo de legumes</t>
  </si>
  <si>
    <t>Cozinhe arroz arbóreo com caldo, adicionando cogumelos e levedura até cremoso.</t>
  </si>
  <si>
    <t>arroz arbóreo, cogumelos, cebola, azeite, levedura nutricional</t>
  </si>
  <si>
    <t>470 kcal | 16g proteína | 68g carboidratos | Ferro 6,2mg | Cálcio 220mg | Zinco 2,8mg | Ômega-3 950mg | Sódio 390mg</t>
  </si>
  <si>
    <t>Finalize com salsa fresca.</t>
  </si>
  <si>
    <t>https://flagcdn.com/w320/it.png</t>
  </si>
  <si>
    <t>Japão</t>
  </si>
  <si>
    <t>Ramen Vegano</t>
  </si>
  <si>
    <t>Sopa japonesa de macarrão em caldo saboroso com tofu e legumes.</t>
  </si>
  <si>
    <t>200g macarrão de trigo; 150g tofu firme; 1 cenoura; 1 nori; 1 litro caldo de legumes; 2 colheres sopa molho de soja</t>
  </si>
  <si>
    <t>Cozinhe macarrão, prepare caldo com legumes, soja e nori. Sirva com tofu e cenoura.</t>
  </si>
  <si>
    <t>macarrão, tofu, cenoura, nori, caldo de legumes, molho de soja</t>
  </si>
  <si>
    <t>450 kcal | 20g proteína | 65g carboidratos | Ferro 6,5mg | Cálcio 230mg | Zinco 3mg | Ômega-3 1000mg | Sódio 450mg</t>
  </si>
  <si>
    <t>Finalize com cebolinha fresca.</t>
  </si>
  <si>
    <t>https://flagcdn.com/w320/jp.png</t>
  </si>
  <si>
    <t>Jordânia</t>
  </si>
  <si>
    <t>Mansaf Vegano</t>
  </si>
  <si>
    <t>Versão sem carne do prato nacional da Jordânia, feito com arroz e iogurte de caju.</t>
  </si>
  <si>
    <t>2 xícaras arroz; 200g seitan; 1 xícara iogurte de caju; 1 cebola; 2 colheres sopa azeite</t>
  </si>
  <si>
    <t>Cozinhe arroz, grelhe seitan e sirva com molho de iogurte de caju temperado.</t>
  </si>
  <si>
    <t>arroz, seitan, iogurte de caju, cebola, azeite</t>
  </si>
  <si>
    <t>480 kcal | 27g proteína | 66g carboidratos | Ferro 6,7mg | Cálcio 230mg | Zinco 3,1mg | Ômega-3 950mg | Sódio 400mg</t>
  </si>
  <si>
    <t>Decore com amêndoas torradas para mais cálcio e ferro.</t>
  </si>
  <si>
    <t>https://flagcdn.com/w320/jo.png</t>
  </si>
  <si>
    <t>Kosovo</t>
  </si>
  <si>
    <t>Flija Vegana</t>
  </si>
  <si>
    <t>Panqueca em camadas típica do Kosovo, adaptada sem laticínios.</t>
  </si>
  <si>
    <t>2 xícaras farinha; 2 xícaras leite de soja; 2 colheres sopa azeite; sal</t>
  </si>
  <si>
    <t>Misture massa líquida e asse em camadas, pincelando azeite entre elas.</t>
  </si>
  <si>
    <t>farinha, leite de soja, azeite</t>
  </si>
  <si>
    <t>390 kcal | 14g proteína | 64g carboidratos | Ferro 5,9mg | Cálcio 210mg | Zinco 2,7mg | Ômega-3 900mg | Sódio 360mg</t>
  </si>
  <si>
    <t>Sirva com molho de iogurte de soja.</t>
  </si>
  <si>
    <t>https://flagcdn.com/w320/xk.png</t>
  </si>
  <si>
    <t>Kuwait</t>
  </si>
  <si>
    <t>Machboos Vegano</t>
  </si>
  <si>
    <t>Versão sem carne do prato nacional do Kuwait, feito com arroz aromático e grão-de-bico.</t>
  </si>
  <si>
    <t>2 xícaras arroz basmati; 1 xícara grão-de-bico; 1 cebola; 2 tomates; 2 colheres sopa azeite; especiarias árabes</t>
  </si>
  <si>
    <t>Refogue cebola e tomate, acrescente arroz, grão-de-bico e especiarias, cozinhe até macio.</t>
  </si>
  <si>
    <t>arroz basmati, grão-de-bico, cebola, tomate, especiarias</t>
  </si>
  <si>
    <t>470 kcal | 19g proteína | 70g carboidratos | Ferro 6,5mg | Cálcio 220mg | Zinco 2,9mg | Ômega-3 1000mg | Sódio 390mg</t>
  </si>
  <si>
    <t>Acompanhe com salada fresca de pepino e hortelã.</t>
  </si>
  <si>
    <t>https://flagcdn.com/w320/kw.png</t>
  </si>
  <si>
    <t>Laos</t>
  </si>
  <si>
    <t>Larb Vegano</t>
  </si>
  <si>
    <t>Versão sem carne do prato tradicional laosiano de salada picante, feita com soja texturizada.</t>
  </si>
  <si>
    <t>1 xícara soja texturizada; 1 cebola roxa; 1 pimenta; suco de 1 limão; hortelã; coentro</t>
  </si>
  <si>
    <t>Hidrate soja, misture com cebola, pimenta, limão e ervas frescas.</t>
  </si>
  <si>
    <t>soja texturizada, cebola, pimenta, limão, hortelã, coentro</t>
  </si>
  <si>
    <t>380 kcal | 24g proteína | 50g carboidratos | Ferro 6,1mg | Cálcio 210mg | Zinco 2,9mg | Ômega-3 950mg | Sódio 360mg</t>
  </si>
  <si>
    <t>Sirva com arroz de jasmim.</t>
  </si>
  <si>
    <t>https://flagcdn.com/w320/la.png</t>
  </si>
  <si>
    <t>Lesoto</t>
  </si>
  <si>
    <t>Moroho Vegano</t>
  </si>
  <si>
    <t>Prato típico do Lesoto feito com folhas verdes cozidas.</t>
  </si>
  <si>
    <t>2 xícaras folhas de mostarda (ou couve); 1 cebola; 2 tomates; 2 colheres sopa óleo</t>
  </si>
  <si>
    <t>Refogue cebola e tomate, acrescente folhas e cozinhe até macias.</t>
  </si>
  <si>
    <t>folhas verdes, cebola, tomate, óleo</t>
  </si>
  <si>
    <t>350 kcal | 12g proteína | 48g carboidratos | Ferro 5,8mg | Cálcio 220mg | Zinco 2,6mg | Ômega-3 900mg | Sódio 370mg</t>
  </si>
  <si>
    <t>Sirva com pap de milho.</t>
  </si>
  <si>
    <t>https://flagcdn.com/w320/ls.png</t>
  </si>
  <si>
    <t>Letônia</t>
  </si>
  <si>
    <t>Graudu Putra Vegana</t>
  </si>
  <si>
    <t>Papa de grãos tradicional da Letônia, adaptada para versão vegana.</t>
  </si>
  <si>
    <t>1 xícara cevada em grãos; 1 xícara aveia; 2 xícaras leite de aveia; 1 colher sopa sementes de linhaça</t>
  </si>
  <si>
    <t>Cozinhe grãos em leite de aveia até formar papa cremosa.</t>
  </si>
  <si>
    <t>cevada, aveia, leite de aveia, linhaça</t>
  </si>
  <si>
    <t>400 kcal | 15g proteína | 62g carboidratos | Ferro 6mg | Cálcio 230mg | Zinco 2,8mg | Ômega-3 1200mg | Sódio 360mg</t>
  </si>
  <si>
    <t>Finalize com frutas vermelhas.</t>
  </si>
  <si>
    <t>https://flagcdn.com/w320/lv.png</t>
  </si>
  <si>
    <t>Líbano</t>
  </si>
  <si>
    <t>Mujaddara Vegano</t>
  </si>
  <si>
    <t>Prato tradicional libanês feito com arroz, lentilhas e cebolas caramelizadas.</t>
  </si>
  <si>
    <t>1 xícara arroz; 1 xícara lentilhas; 2 cebolas; 2 colheres sopa azeite</t>
  </si>
  <si>
    <t>Cozinhe arroz e lentilhas juntos. Caramelize cebolas no azeite e sirva por cima.</t>
  </si>
  <si>
    <t>arroz, lentilhas, cebola, azeite</t>
  </si>
  <si>
    <t>440 kcal | 20g proteína | 65g carboidratos | Ferro 6,4mg | Cálcio 220mg | Zinco 2,9mg | Ômega-3 950mg | Sódio 380mg</t>
  </si>
  <si>
    <t>Acompanhe com salada de pepino e tomate.</t>
  </si>
  <si>
    <t>https://flagcdn.com/w320/lb.png</t>
  </si>
  <si>
    <t>Libéria</t>
  </si>
  <si>
    <t>Palava Sauce Vegano</t>
  </si>
  <si>
    <t>Ensopado liberiano de folhas verdes e amendoim, adaptado sem carne.</t>
  </si>
  <si>
    <t>2 xícaras folhas verdes; 1 xícara pasta de amendoim; 1 cebola; 2 tomates; 2 colheres sopa óleo</t>
  </si>
  <si>
    <t>Refogue cebola e tomate, acrescente folhas e pasta de amendoim, cozinhe até engrossar.</t>
  </si>
  <si>
    <t>folhas verdes, pasta de amendoim, cebola, tomate, óleo</t>
  </si>
  <si>
    <t>450 kcal | 18g proteína | 58g carboidratos | Ferro 6,5mg | Cálcio 230mg | Zinco 3mg | Ômega-3 1000mg | Sódio 390mg</t>
  </si>
  <si>
    <t>Sirva com arroz branco.</t>
  </si>
  <si>
    <t>https://flagcdn.com/w320/lr.png</t>
  </si>
  <si>
    <t>Líbia</t>
  </si>
  <si>
    <t>Bazeen Vegano</t>
  </si>
  <si>
    <t>Prato líbio tradicional de massa de cevada, aqui servido com ensopado de legumes.</t>
  </si>
  <si>
    <t>2 xícaras farinha de cevada; 2 cenouras; 2 tomates; 1 cebola; 2 colheres sopa azeite</t>
  </si>
  <si>
    <t>Cozinhe farinha de cevada até formar massa firme. Sirva com ensopado de legumes refogados.</t>
  </si>
  <si>
    <t>cevada, cenoura, tomate, cebola, azeite</t>
  </si>
  <si>
    <t>430 kcal | 15g proteína | 60g carboidratos | Ferro 6,2mg | Cálcio 220mg | Zinco 2,9mg | Ômega-3 950mg | Sódio 380mg</t>
  </si>
  <si>
    <t>https://flagcdn.com/w320/ly.png</t>
  </si>
  <si>
    <t>Liechtenstein</t>
  </si>
  <si>
    <t>Gerstensuppe Vegana</t>
  </si>
  <si>
    <t>Sopa tradicional de cevada e legumes.</t>
  </si>
  <si>
    <t>1 xícara cevada; 1 cenoura; 1 batata; 1 alho-poró; 1 cebola; 2 colheres sopa azeite</t>
  </si>
  <si>
    <t>Cozinhe cevada com legumes picados até formar sopa cremosa.</t>
  </si>
  <si>
    <t>cevada, cenoura, batata, alho-poró, cebola, azeite</t>
  </si>
  <si>
    <t>400 kcal | 13g proteína | 62g carboidratos | Ferro 6mg | Cálcio 210mg | Zinco 2,8mg | Ômega-3 900mg | Sódio 360mg</t>
  </si>
  <si>
    <t>Sirva com pão integral.</t>
  </si>
  <si>
    <t>https://flagcdn.com/w320/li.png</t>
  </si>
  <si>
    <t>Lituânia</t>
  </si>
  <si>
    <t>Cepelinai Vegano</t>
  </si>
  <si>
    <t>Versão sem carne do prato nacional da Lituânia, bolinhos de batata recheados com cogumelos.</t>
  </si>
  <si>
    <t>4 batatas grandes raladas; 200g cogumelos; 1 cebola; 2 colheres sopa óleo</t>
  </si>
  <si>
    <t>Prepare massa de batata ralada, recheie com cogumelos refogados e cozinhe em água fervente.</t>
  </si>
  <si>
    <t>batata, cogumelos, cebola, óleo</t>
  </si>
  <si>
    <t>460 kcal | 14g proteína | 70g carboidratos | Ferro 6,3mg | Cálcio 220mg | Zinco 2,9mg | Ômega-3 950mg | Sódio 380mg</t>
  </si>
  <si>
    <t>Sirva com molho de creme de caju.</t>
  </si>
  <si>
    <t>https://flagcdn.com/w320/lt.png</t>
  </si>
  <si>
    <t>Luxemburgo</t>
  </si>
  <si>
    <t>Bouneschlupp Vegana</t>
  </si>
  <si>
    <t>Sopa tradicional de vagem com batatas, adaptada sem carne.</t>
  </si>
  <si>
    <t>2 xícaras vagem picada; 3 batatas; 1 cebola; 2 cenouras; 2 colheres sopa azeite</t>
  </si>
  <si>
    <t>Cozinhe legumes em água com temperos até ficarem macios.</t>
  </si>
  <si>
    <t>vagem, batata, cebola, cenoura, azeite</t>
  </si>
  <si>
    <t>380 kcal | 12g proteína | 58g carboidratos | Ferro 5,9mg | Cálcio 210mg | Zinco 2,7mg | Ômega-3 900mg | Sódio 360mg</t>
  </si>
  <si>
    <t>https://flagcdn.com/w320/lu.png</t>
  </si>
  <si>
    <t>Madagascar</t>
  </si>
  <si>
    <t>Ravitoto Vegano</t>
  </si>
  <si>
    <t>Prato típico de Madagascar feito com folhas de mandioca, aqui adaptado com pasta de amendoim.</t>
  </si>
  <si>
    <t>2 xícaras folhas de mandioca (ou couve); 1 xícara pasta de amendoim; 1 cebola; 2 colheres sopa óleo</t>
  </si>
  <si>
    <t>Refogue cebola, adicione folhas e pasta de amendoim, cozinhe até engrossar.</t>
  </si>
  <si>
    <t>folhas de mandioca, pasta de amendoim, cebola, óleo</t>
  </si>
  <si>
    <t>440 kcal | 17g proteína | 56g carboidratos | Ferro 6,4mg | Cálcio 220mg | Zinco 2,9mg | Ômega-3 950mg | Sódio 380mg</t>
  </si>
  <si>
    <t>Acompanhe com arroz branco.</t>
  </si>
  <si>
    <t>https://flagcdn.com/w320/mg.png</t>
  </si>
  <si>
    <t>Malawi</t>
  </si>
  <si>
    <t>Nsima com Relish Vegano</t>
  </si>
  <si>
    <t>Prato nacional do Malawi, papa de milho com acompanhamento de vegetais.</t>
  </si>
  <si>
    <t>2 xícaras farinha de milho; 2 xícaras espinafre; 2 tomates; 1 cebola; 2 colheres sopa óleo</t>
  </si>
  <si>
    <t>Cozinhe farinha de milho até formar papa firme. Sirva com relish de espinafre, tomate e cebola.</t>
  </si>
  <si>
    <t>milho, espinafre, tomate, cebola, óleo</t>
  </si>
  <si>
    <t>420 kcal | 13g proteína | 62g carboidratos | Ferro 6mg | Cálcio 210mg | Zinco 2,8mg | Ômega-3 900mg | Sódio 370mg</t>
  </si>
  <si>
    <t>Sirva com feijão-caupi para proteína extra.</t>
  </si>
  <si>
    <t>https://flagcdn.com/w320/mw.png</t>
  </si>
  <si>
    <t>Malásia</t>
  </si>
  <si>
    <t>Nasi Lemak Vegano</t>
  </si>
  <si>
    <t>Versão vegana do prato nacional malaio, tradicionalmente com peixe, aqui feito com tofu e coco.</t>
  </si>
  <si>
    <t>2 xícaras arroz de coco; 150g tofu frito; 1 pepino; 1 xícara amendoim torrado; sambal vegano</t>
  </si>
  <si>
    <t>Prepare arroz no leite de coco, sirva com tofu frito, pepino, amendoim e sambal vegano.</t>
  </si>
  <si>
    <t>arroz de coco, tofu, pepino, amendoim, sambal vegano</t>
  </si>
  <si>
    <t>470 kcal | 18g proteína | 68g carboidratos | Ferro 6,5mg | Cálcio 230mg | Zinco 3mg | Ômega-3 1000mg | Sódio 420mg</t>
  </si>
  <si>
    <t>Finalize com folhas de pandan para aroma tradicional.</t>
  </si>
  <si>
    <t>https://flagcdn.com/w320/my.png</t>
  </si>
  <si>
    <t>Maldivas</t>
  </si>
  <si>
    <t>Mas Huni Vegano</t>
  </si>
  <si>
    <t>Versão sem peixe do café da manhã típico das Maldivas, feita com coco e grão-de-bico.</t>
  </si>
  <si>
    <t>1 xícara grão-de-bico; 1 xícara coco ralado fresco; 1 cebola roxa; suco de 1 limão; folhas de curry</t>
  </si>
  <si>
    <t>Cozinhe grão-de-bico, misture com coco, cebola e limão.</t>
  </si>
  <si>
    <t>grão-de-bico, coco, cebola, limão, curry</t>
  </si>
  <si>
    <t>420 kcal | 18g proteína | 56g carboidratos | Ferro 6,3mg | Cálcio 230mg | Zinco 3mg | Ômega-3 950mg | Sódio 370mg</t>
  </si>
  <si>
    <t>Sirva com roshi (pão achatado local).</t>
  </si>
  <si>
    <t>https://flagcdn.com/w320/mv.png</t>
  </si>
  <si>
    <t>Mali</t>
  </si>
  <si>
    <t>Tiguadege Na Vegano</t>
  </si>
  <si>
    <t>Versão sem carne do ensopado de amendoim típico do Mali.</t>
  </si>
  <si>
    <t>1 xícara pasta de amendoim; 2 tomates; 1 cebola; 1 batata-doce; 2 colheres sopa óleo</t>
  </si>
  <si>
    <t>Refogue cebola e tomate, adicione pasta de amendoim e batata-doce, cozinhe até engrossar.</t>
  </si>
  <si>
    <t>amendoim, tomate, cebola, batata-doce, óleo</t>
  </si>
  <si>
    <t>450 kcal | 16g proteína | 60g carboidratos | Ferro 6,4mg | Cálcio 220mg | Zinco 2,9mg | Ômega-3 1000mg | Sódio 380mg</t>
  </si>
  <si>
    <t>https://flagcdn.com/w320/ml.png</t>
  </si>
  <si>
    <t>Malta</t>
  </si>
  <si>
    <t>Minestra Vegana</t>
  </si>
  <si>
    <t>Sopa maltesa de legumes, tradicionalmente feita no inverno.</t>
  </si>
  <si>
    <t>1 xícara feijão-branco; 2 batatas; 2 cenouras; 1 abobrinha; 1 cebola; 2 colheres sopa azeite</t>
  </si>
  <si>
    <t>Cozinhe todos os legumes com feijão em água até ficarem macios.</t>
  </si>
  <si>
    <t>feijão-branco, batata, cenoura, abobrinha, cebola, azeite</t>
  </si>
  <si>
    <t>400 kcal | 15g proteína | 62g carboidratos | Ferro 6mg | Cálcio 210mg | Zinco 2,8mg | Ômega-3 950mg | Sódio 370mg</t>
  </si>
  <si>
    <t>Sirva com pão integral maltês.</t>
  </si>
  <si>
    <t>https://flagcdn.com/w320/mt.png</t>
  </si>
  <si>
    <t>Marrocos</t>
  </si>
  <si>
    <t>Tagine Vegano</t>
  </si>
  <si>
    <t>Clássico prato marroquino feito em panela de barro, adaptado sem carne.</t>
  </si>
  <si>
    <t>2 xícaras grão-de-bico; 2 cenouras; 1 abóbora pequena; 1 cebola; 2 tomates; especiarias (cominho, canela); 2 colheres sopa azeite</t>
  </si>
  <si>
    <t>Refogue cebola e tomate, acrescente grão-de-bico, legumes e especiarias, cozinhe lentamente.</t>
  </si>
  <si>
    <t>grão-de-bico, cenoura, abóbora, cebola, tomate, especiarias</t>
  </si>
  <si>
    <t>470 kcal | 19g proteína | 68g carboidratos | Ferro 6,7mg | Cálcio 230mg | Zinco 3mg | Ômega-3 1000mg | Sódio 390mg</t>
  </si>
  <si>
    <t>Sirva com cuscuz integral.</t>
  </si>
  <si>
    <t>https://flagcdn.com/w320/ma.png</t>
  </si>
  <si>
    <t>Maurício</t>
  </si>
  <si>
    <t>Curry de Legumes Vegano</t>
  </si>
  <si>
    <t>Prato típico de Maurício, influenciado pela culinária indiana, adaptado sem carne.</t>
  </si>
  <si>
    <t>1 xícara grão-de-bico; 1 batata; 1 cenoura; 1 abobrinha; 1 cebola; 2 tomates; curry em pó; 2 colheres sopa óleo</t>
  </si>
  <si>
    <t>Refogue cebola e tomate, adicione legumes e grão-de-bico, cozinhe com curry até macios.</t>
  </si>
  <si>
    <t>grão-de-bico, batata, cenoura, abobrinha, cebola, tomate, curry</t>
  </si>
  <si>
    <t>440 kcal | 18g proteína | 64g carboidratos | Ferro 6,5mg | Cálcio 220mg | Zinco 2,9mg | Ômega-3 950mg | Sódio 380mg</t>
  </si>
  <si>
    <t>Sirva com chapati ou arroz basmati.</t>
  </si>
  <si>
    <t>https://flagcdn.com/w320/mu.png</t>
  </si>
  <si>
    <t>Mauritânia</t>
  </si>
  <si>
    <t>Thieboudienne Vegano</t>
  </si>
  <si>
    <t>Versão sem peixe do prato nacional, feito com arroz, legumes e molho de tomate.</t>
  </si>
  <si>
    <t>2 xícaras arroz; 1 cenoura; 1 abóbora; 1 berinjela; 2 tomates; 1 cebola; 2 colheres sopa óleo</t>
  </si>
  <si>
    <t>Refogue cebola e tomate, acrescente arroz, legumes e cozinhe em fogo baixo.</t>
  </si>
  <si>
    <t>arroz, cenoura, abóbora, berinjela, tomate, cebola, óleo</t>
  </si>
  <si>
    <t>460 kcal | 16g proteína | 70g carboidratos | Ferro 6,3mg | Cálcio 220mg | Zinco 2,9mg | Ômega-3 950mg | Sódio 380mg</t>
  </si>
  <si>
    <t>Sirva com molho de pimenta tradicional.</t>
  </si>
  <si>
    <t>https://flagcdn.com/w320/mr.png</t>
  </si>
  <si>
    <t>México</t>
  </si>
  <si>
    <t>Enchiladas Veganas</t>
  </si>
  <si>
    <t>Versão sem queijo das enchiladas mexicanas, recheadas com feijão e legumes.</t>
  </si>
  <si>
    <t>8 tortillas de milho; 2 xícaras feijão-preto; 1 pimentão; 1 cebola; 2 tomates; molho de pimenta; 2 colheres sopa azeite</t>
  </si>
  <si>
    <t>Recheie tortillas com feijão e legumes, cubra com molho de pimenta e asse.</t>
  </si>
  <si>
    <t>tortillas de milho, feijão-preto, pimentão, cebola, tomate, molho de pimenta</t>
  </si>
  <si>
    <t>480 kcal | 20g proteína | 66g carboidratos | Ferro 6,5mg | Cálcio 230mg | Zinco 3mg | Ômega-3 1000mg | Sódio 420mg</t>
  </si>
  <si>
    <t>Acompanhe com guacamole para gorduras boas.</t>
  </si>
  <si>
    <t>https://flagcdn.com/w320/mx.png</t>
  </si>
  <si>
    <t>Micronésia</t>
  </si>
  <si>
    <t>Soupe de Taro Vegana</t>
  </si>
  <si>
    <t>Sopa típica das ilhas da Micronésia feita com taro e leite de coco.</t>
  </si>
  <si>
    <t>2 xícaras taro em cubos; 1 xícara leite de coco; 1 cebola; 1 cenoura; 2 colheres sopa óleo de coco</t>
  </si>
  <si>
    <t>Cozinhe taro e legumes, adicione leite de coco e finalize com óleo de coco.</t>
  </si>
  <si>
    <t>taro, leite de coco, cebola, cenoura, óleo de coco</t>
  </si>
  <si>
    <t>430 kcal | 10g proteína | 58g carboidratos | Ferro 5,8mg | Cálcio 210mg | Zinco 2,6mg | Ômega-3 950mg | Sódio 360mg</t>
  </si>
  <si>
    <t>Sirva com ervas frescas locais.</t>
  </si>
  <si>
    <t>https://flagcdn.com/w320/fm.png</t>
  </si>
  <si>
    <t>Moçambique</t>
  </si>
  <si>
    <t>Matapa Vegana</t>
  </si>
  <si>
    <t>Prato tradicional feito com folhas de mandioca, amendoim e coco.</t>
  </si>
  <si>
    <t>2 xícaras folhas de mandioca (ou couve); 1 xícara pasta de amendoim; 1 xícara leite de coco; 1 cebola; 2 colheres sopa óleo</t>
  </si>
  <si>
    <t>Refogue cebola, adicione folhas, pasta de amendoim e leite de coco. Cozinhe até engrossar.</t>
  </si>
  <si>
    <t>folhas de mandioca, amendoim, coco, cebola, óleo</t>
  </si>
  <si>
    <t>470 kcal | 18g proteína | 64g carboidratos | Ferro 6,6mg | Cálcio 230mg | Zinco 3mg | Ômega-3 1050mg | Sódio 390mg</t>
  </si>
  <si>
    <t>Acompanhe com arroz branco ou xima (papa de milho).</t>
  </si>
  <si>
    <t>https://flagcdn.com/w320/mz.png</t>
  </si>
  <si>
    <t>Moldávia</t>
  </si>
  <si>
    <t>Mămăligă Vegana</t>
  </si>
  <si>
    <t>Prato típico moldavo de polenta, servido com cogumelos no lugar de queijo.</t>
  </si>
  <si>
    <t>2 xícaras fubá de milho; 200g cogumelos; 1 cebola; 2 colheres sopa azeite</t>
  </si>
  <si>
    <t>Cozinhe fubá até engrossar. Refogue cogumelos e cebola, sirva por cima.</t>
  </si>
  <si>
    <t>fubá de milho, cogumelos, cebola, azeite</t>
  </si>
  <si>
    <t>410 kcal | 12g proteína | 64g carboidratos | Ferro 6mg | Cálcio 210mg | Zinco 2,7mg | Ômega-3 900mg | Sódio 360mg</t>
  </si>
  <si>
    <t>Acompanhe com salada fresca.</t>
  </si>
  <si>
    <t>https://flagcdn.com/w320/md.png</t>
  </si>
  <si>
    <t>Mônaco</t>
  </si>
  <si>
    <t>Barbagiuan Vegano</t>
  </si>
  <si>
    <t>Pastel frito típico de Mônaco, recheado com acelga e ervas, adaptado sem queijo.</t>
  </si>
  <si>
    <t>2 xícaras farinha; 1/2 xícara água; 2 xícaras acelga; 1 cebola; ervas frescas; 2 colheres sopa azeite</t>
  </si>
  <si>
    <t>Prepare massa simples, recheie com acelga refogada e ervas, frite em azeite.</t>
  </si>
  <si>
    <t>farinha, acelga, cebola, ervas, azeite</t>
  </si>
  <si>
    <t>430 kcal | 14g proteína | 60g carboidratos | Ferro 6,1mg | Cálcio 220mg | Zinco 2,8mg | Ômega-3 950mg | Sódio 370mg</t>
  </si>
  <si>
    <t>Sirva com molho de tomate fresco.</t>
  </si>
  <si>
    <t>https://flagcdn.com/w320/mc.png</t>
  </si>
  <si>
    <t>Mongólia</t>
  </si>
  <si>
    <t>Tsagaan Idee Vegano</t>
  </si>
  <si>
    <t>Versão sem laticínios da mesa tradicional mongol, aqui feita com tofu e legumes.</t>
  </si>
  <si>
    <t>200g tofu; 2 batatas; 2 cenouras; 1 cebola; 2 colheres sopa óleo</t>
  </si>
  <si>
    <t>Cozinhe batatas e cenouras, refogue com cebola e tofu.</t>
  </si>
  <si>
    <t>tofu, batata, cenoura, cebola, óleo</t>
  </si>
  <si>
    <t>420 kcal | 22g proteína | 58g carboidratos | Ferro 6,2mg | Cálcio 230mg | Zinco 3mg | Ômega-3 950mg | Sódio 380mg</t>
  </si>
  <si>
    <t>Sirva com chá salgado de soja.</t>
  </si>
  <si>
    <t>https://flagcdn.com/w320/mn.png</t>
  </si>
  <si>
    <t>Montenegro</t>
  </si>
  <si>
    <t>Čorba Vegana</t>
  </si>
  <si>
    <t>Sopa típica montenegrina de feijão e batata, adaptada sem carne.</t>
  </si>
  <si>
    <t>2 xícaras feijão-branco; 2 batatas; 1 cenoura; 1 cebola; 2 colheres sopa azeite</t>
  </si>
  <si>
    <t>Cozinhe feijão até macio, adicione batata, cenoura e cebola, finalize com azeite.</t>
  </si>
  <si>
    <t>feijão-branco, batata, cenoura, cebola, azeite</t>
  </si>
  <si>
    <t>400 kcal | 16g proteína | 62g carboidratos | Ferro 6,3mg | Cálcio 220mg | Zinco 2,9mg | Ômega-3 950mg | Sódio 370mg</t>
  </si>
  <si>
    <t>Acompanhe com pão de centeio.</t>
  </si>
  <si>
    <t>https://flagcdn.com/w320/me.png</t>
  </si>
  <si>
    <t>Myanmar</t>
  </si>
  <si>
    <t>Mohinga Vegano</t>
  </si>
  <si>
    <t>Versão sem peixe da sopa nacional birmanesa, feita com grão-de-bico e arroz.</t>
  </si>
  <si>
    <t>1 xícara grão-de-bico; 1 xícara arroz; 1 cebola; 2 tomates; especiarias; 2 colheres sopa óleo</t>
  </si>
  <si>
    <t>Cozinhe arroz, faça caldo com grão-de-bico, tomate e especiarias.</t>
  </si>
  <si>
    <t>grão-de-bico, arroz, cebola, tomate, especiarias, óleo</t>
  </si>
  <si>
    <t>450 kcal | 18g proteína | 68g carboidratos | Ferro 6,5mg | Cálcio 220mg | Zinco 3mg | Ômega-3 1000mg | Sódio 380mg</t>
  </si>
  <si>
    <t>Sirva com coentro fresco.</t>
  </si>
  <si>
    <t>https://flagcdn.com/w320/mm.png</t>
  </si>
  <si>
    <t>Namíbia</t>
  </si>
  <si>
    <t>Mahangu Pap Vegano</t>
  </si>
  <si>
    <t>Papa de milhete típica da Namíbia, servida com molho de feijão.</t>
  </si>
  <si>
    <t>2 xícaras milhete em grãos; 2 xícaras feijão-fradinho; 1 cebola; 2 tomates; 2 colheres sopa óleo</t>
  </si>
  <si>
    <t>Cozinhe milhete até formar papa. Prepare molho de feijão refogado com cebola e tomate.</t>
  </si>
  <si>
    <t>milhete, feijão-fradinho, cebola, tomate, óleo</t>
  </si>
  <si>
    <t>430 kcal | 17g proteína | 64g carboidratos | Ferro 6,4mg | Cálcio 230mg | Zinco 3mg | Ômega-3 950mg | Sódio 370mg</t>
  </si>
  <si>
    <t>Sirva com verduras cozidas.</t>
  </si>
  <si>
    <t>https://flagcdn.com/w320/na.png</t>
  </si>
  <si>
    <t>Nauru</t>
  </si>
  <si>
    <t>Coco Fish Vegano</t>
  </si>
  <si>
    <t>Versão sem peixe do prato típico de Nauru, feito com coco e vegetais.</t>
  </si>
  <si>
    <t>1 xícara grão-de-bico; 1 xícara leite de coco; 1 cebola; 1 cenoura; 2 colheres sopa óleo de coco</t>
  </si>
  <si>
    <t>Refogue cebola e cenoura, acrescente grão-de-bico e leite de coco, cozinhe até engrossar.</t>
  </si>
  <si>
    <t>grão-de-bico, coco, cebola, cenoura, óleo de coco</t>
  </si>
  <si>
    <t>440 kcal | 16g proteína | 58g carboidratos | Ferro 6,2mg | Cálcio 220mg | Zinco 2,9mg | Ômega-3 950mg | Sódio 370mg</t>
  </si>
  <si>
    <t>https://flagcdn.com/w320/nr.png</t>
  </si>
  <si>
    <t>Nepal</t>
  </si>
  <si>
    <t>Dal Bhat Vegano</t>
  </si>
  <si>
    <t>Prato nacional do Nepal, feito com lentilhas e arroz, naturalmente vegano.</t>
  </si>
  <si>
    <t>1 xícara lentilhas amarelas; 2 xícaras arroz; 1 cebola; 2 tomates; especiarias; 2 colheres sopa óleo</t>
  </si>
  <si>
    <t>Cozinhe lentilhas temperadas com especiarias. Sirva com arroz branco e legumes.</t>
  </si>
  <si>
    <t>lentilhas amarelas, arroz, cebola, tomate, especiarias, óleo</t>
  </si>
  <si>
    <t>460 kcal | 18g proteína | 70g carboidratos | Ferro 6,6mg | Cálcio 220mg | Zinco 3mg | Ômega-3 1000mg | Sódio 380mg</t>
  </si>
  <si>
    <t>Acompanhe com espinafre salteado.</t>
  </si>
  <si>
    <t>https://flagcdn.com/w320/np.png</t>
  </si>
  <si>
    <t>Nicarágua</t>
  </si>
  <si>
    <t>Prato típico da Nicarágua, arroz com feijão, simples e nutritivo.</t>
  </si>
  <si>
    <t>1 xícara arroz; 1 xícara feijão-preto; 1 cebola; 1 pimentão; 2 colheres sopa óleo</t>
  </si>
  <si>
    <t>Refogue cebola e pimentão, adicione arroz e feijão já cozidos e misture.</t>
  </si>
  <si>
    <t>arroz, feijão-preto, cebola, pimentão, óleo</t>
  </si>
  <si>
    <t>420 kcal | 15g proteína | 64g carboidratos | Ferro 6mg | Cálcio 210mg | Zinco 2,8mg | Ômega-3 950mg | Sódio 370mg</t>
  </si>
  <si>
    <t>Sirva com plátano frito.</t>
  </si>
  <si>
    <t>https://flagcdn.com/w320/ni.png</t>
  </si>
  <si>
    <t>Níger</t>
  </si>
  <si>
    <t>Djerma Stew Vegano</t>
  </si>
  <si>
    <t>Ensopado típico do Níger, feito com amendoim e vegetais.</t>
  </si>
  <si>
    <t>1 xícara pasta de amendoim; 2 cenouras; 2 batatas; 1 cebola; 2 tomates; 2 colheres sopa óleo</t>
  </si>
  <si>
    <t>Refogue cebola e tomate, acrescente legumes e pasta de amendoim, cozinhe até engrossar.</t>
  </si>
  <si>
    <t>amendoim, cenoura, batata, cebola, tomate, óleo</t>
  </si>
  <si>
    <t>450 kcal | 17g proteína | 62g carboidratos | Ferro 6,4mg | Cálcio 220mg | Zinco 2,9mg | Ômega-3 1000mg | Sódio 380mg</t>
  </si>
  <si>
    <t>Acompanhe com milho cozido ou arroz.</t>
  </si>
  <si>
    <t>https://flagcdn.com/w320/ne.png</t>
  </si>
  <si>
    <t>Nigéria</t>
  </si>
  <si>
    <t>Jollof Rice Vegano</t>
  </si>
  <si>
    <t>Prato clássico da Nigéria, arroz temperado com molho de tomate e especiarias, adaptado sem carne.</t>
  </si>
  <si>
    <t>2 xícaras arroz; 1 xícara molho de tomate; 1 pimentão vermelho; 1 cebola; 2 colheres sopa óleo; especiarias</t>
  </si>
  <si>
    <t>Cozinhe arroz em molho de tomate com pimentão e temperos até absorver o líquido.</t>
  </si>
  <si>
    <t>arroz, tomate, pimentão, cebola, óleo, especiarias</t>
  </si>
  <si>
    <t>470 kcal | 15g proteína | 72g carboidratos | Ferro 6,5mg | Cálcio 220mg | Zinco 2,8mg | Ômega-3 950mg | Sódio 390mg</t>
  </si>
  <si>
    <t>Acompanhe com feijão-fradinho cozido.</t>
  </si>
  <si>
    <t>https://flagcdn.com/w320/ng.png</t>
  </si>
  <si>
    <t>Noruega</t>
  </si>
  <si>
    <t>Fårikål Vegano</t>
  </si>
  <si>
    <t>Versão sem cordeiro do prato nacional da Noruega, ensopado de repolho e batata.</t>
  </si>
  <si>
    <t>1 repolho médio; 3 batatas; 1 cebola; 200g seitan; 2 colheres sopa óleo</t>
  </si>
  <si>
    <t>Cozinhe batata, repolho e cebola com pedaços de seitan até amaciar.</t>
  </si>
  <si>
    <t>repolho, batata, cebola, seitan, óleo</t>
  </si>
  <si>
    <t>430 kcal | 22g proteína | 60g carboidratos | Ferro 6,2mg | Cálcio 230mg | Zinco 3mg | Ômega-3 950mg | Sódio 370mg</t>
  </si>
  <si>
    <t>https://flagcdn.com/w320/no.png</t>
  </si>
  <si>
    <t>Nova Zelândia</t>
  </si>
  <si>
    <t>Hāngi Vegano</t>
  </si>
  <si>
    <t>Versão vegana do prato tradicional maori, assado de legumes e grão-de-bico.</t>
  </si>
  <si>
    <t>2 xícaras grão-de-bico; 2 batatas; 2 cenouras; 1 abóbora; 1 cebola; ervas; 2 colheres sopa azeite</t>
  </si>
  <si>
    <t>Asse legumes e grão-de-bico lentamente, temperados com ervas.</t>
  </si>
  <si>
    <t>grão-de-bico, batata, cenoura, abóbora, cebola, ervas, azeite</t>
  </si>
  <si>
    <t>450 kcal | 18g proteína | 68g carboidratos | Ferro 6,4mg | Cálcio 220mg | Zinco 3mg | Ômega-3 1000mg | Sódio 380mg</t>
  </si>
  <si>
    <t>Sirva com molho de tahine.</t>
  </si>
  <si>
    <t>https://flagcdn.com/w320/nz.png</t>
  </si>
  <si>
    <t>Omã</t>
  </si>
  <si>
    <t>Shuwa Vegano</t>
  </si>
  <si>
    <t>Versão sem carne do prato tradicional de Omã, assado de arroz com especiarias e legumes.</t>
  </si>
  <si>
    <t>2 xícaras arroz basmati; 1 cenoura; 1 abobrinha; 1 cebola; 2 tomates; especiarias árabes; 2 colheres sopa azeite</t>
  </si>
  <si>
    <t>Cozinhe arroz com especiarias, adicione legumes assados e misture.</t>
  </si>
  <si>
    <t>arroz basmati, cenoura, abobrinha, cebola, tomate, especiarias, azeite</t>
  </si>
  <si>
    <t>460 kcal | 14g proteína | 70g carboidratos | Ferro 6,3mg | Cálcio 220mg | Zinco 2,9mg | Ômega-3 950mg | Sódio 390mg</t>
  </si>
  <si>
    <t>Finalize com coentro fresco.</t>
  </si>
  <si>
    <t>https://flagcdn.com/w320/om.png</t>
  </si>
  <si>
    <t>Paquistão</t>
  </si>
  <si>
    <t>Biryani Vegano</t>
  </si>
  <si>
    <t>Versão sem carne do tradicional biryani paquistanês, com arroz e vegetais.</t>
  </si>
  <si>
    <t>2 xícaras arroz basmati; 1 cenoura; 1 batata; 1 pimentão; 1 cebola; 2 tomates; especiarias (garam masala, cúrcuma); 2 colheres sopa óleo</t>
  </si>
  <si>
    <t>Refogue cebola e especiarias, adicione legumes e arroz, cozinhe até absorver o líquido.</t>
  </si>
  <si>
    <t>arroz basmati, legumes, cebola, tomate, especiarias, óleo</t>
  </si>
  <si>
    <t>480 kcal | 16g proteína | 70g carboidratos | Ferro 6,6mg | Cálcio 220mg | Zinco 3mg | Ômega-3 1000mg | Sódio 380mg</t>
  </si>
  <si>
    <t>Sirva com raita vegana de iogurte de coco e hortelã.</t>
  </si>
  <si>
    <t>https://flagcdn.com/w320/pk.png</t>
  </si>
  <si>
    <t>Palau</t>
  </si>
  <si>
    <t>Taro Vegano com Coco</t>
  </si>
  <si>
    <t>Prato tradicional de Palau, feito com raiz de taro e leite de coco.</t>
  </si>
  <si>
    <t>2 xícaras taro; 1 xícara leite de coco; 1 cebola; 2 colheres sopa óleo de coco; sal a gosto</t>
  </si>
  <si>
    <t>Cozinhe taro em leite de coco com cebola até macio.</t>
  </si>
  <si>
    <t>taro, coco, cebola, óleo de coco</t>
  </si>
  <si>
    <t>430 kcal | 11g proteína | 58g carboidratos | Ferro 5,9mg | Cálcio 210mg | Zinco 2,8mg | Ômega-3 950mg | Sódio 360mg</t>
  </si>
  <si>
    <t>Sirva com folhas verdes cozidas.</t>
  </si>
  <si>
    <t>https://flagcdn.com/w320/pw.png</t>
  </si>
  <si>
    <t>Panamá</t>
  </si>
  <si>
    <t>Sancocho Vegano</t>
  </si>
  <si>
    <t>Versão sem carne da sopa panamenha tradicional, feita com inhame e milho.</t>
  </si>
  <si>
    <t>2 xícaras inhame em cubos; 1 espiga de milho; 1 batata; 1 cebola; 2 colheres sopa óleo</t>
  </si>
  <si>
    <t>Cozinhe todos os vegetais em caldo temperado até amaciarem.</t>
  </si>
  <si>
    <t>inhame, milho, batata, cebola, óleo</t>
  </si>
  <si>
    <t>420 kcal | 12g proteína | 62g carboidratos | Ferro 6mg | Cálcio 210mg | Zinco 2,8mg | Ômega-3 950mg | Sódio 370mg</t>
  </si>
  <si>
    <t>https://flagcdn.com/w320/pa.png</t>
  </si>
  <si>
    <t>Papua-Nova Guiné</t>
  </si>
  <si>
    <t>Mumu Vegano</t>
  </si>
  <si>
    <t>Versão vegetal do prato assado tradicional da Papua, preparado com legumes e coco.</t>
  </si>
  <si>
    <t>2 xícaras batata-doce; 1 abóbora; 1 cenoura; 1 xícara leite de coco; 1 cebola; 2 colheres sopa óleo</t>
  </si>
  <si>
    <t>Asse legumes em camadas com leite de coco até dourar.</t>
  </si>
  <si>
    <t>batata-doce, abóbora, cenoura, coco, cebola, óleo</t>
  </si>
  <si>
    <t>450 kcal | 14g proteína | 66g carboidratos | Ferro 6,3mg | Cálcio 230mg | Zinco 2,9mg | Ômega-3 1000mg | Sódio 390mg</t>
  </si>
  <si>
    <t>Sirva com banana cozida.</t>
  </si>
  <si>
    <t>https://flagcdn.com/w320/pg.png</t>
  </si>
  <si>
    <t>Paraguai</t>
  </si>
  <si>
    <t>Sopa Paraguaia Vegana</t>
  </si>
  <si>
    <t>Versão sem ovos e queijo do bolo de milho salgado típico do Paraguai.</t>
  </si>
  <si>
    <t>2 xícaras milho verde; 1 xícara fubá; 1 cebola; 1 xícara leite vegetal; 2 colheres sopa azeite</t>
  </si>
  <si>
    <t>Bata todos os ingredientes e asse até dourar.</t>
  </si>
  <si>
    <t>milho, fubá, cebola, leite vegetal, azeite</t>
  </si>
  <si>
    <t>430 kcal | 12g proteína | 68g carboidratos | Ferro 6mg | Cálcio 210mg | Zinco 2,7mg | Ômega-3 900mg | Sódio 360mg</t>
  </si>
  <si>
    <t>Sirva com salada fresca.</t>
  </si>
  <si>
    <t>https://flagcdn.com/w320/py.png</t>
  </si>
  <si>
    <t>Peru</t>
  </si>
  <si>
    <t>Lomo Saltado Vegano</t>
  </si>
  <si>
    <t>Versão sem carne do prato peruano, feita com tofu e legumes.</t>
  </si>
  <si>
    <t>200g tofu firme; 1 cebola; 1 tomate; 1 batata; molho de soja; 2 colheres sopa óleo</t>
  </si>
  <si>
    <t>Grelhe tofu, refogue legumes e misture com batata frita e molho de soja.</t>
  </si>
  <si>
    <t>tofu, cebola, tomate, batata, molho de soja, óleo</t>
  </si>
  <si>
    <t>460 kcal | 22g proteína | 62g carboidratos | Ferro 6,4mg | Cálcio 230mg | Zinco 3mg | Ômega-3 950mg | Sódio 400mg</t>
  </si>
  <si>
    <t>https://flagcdn.com/w320/pe.png</t>
  </si>
  <si>
    <t>Filipinas</t>
  </si>
  <si>
    <t>Adobo Vegano</t>
  </si>
  <si>
    <t>Versão sem carne do adobo filipino, feito com tofu e molho agridoce.</t>
  </si>
  <si>
    <t>200g tofu firme; 1/4 xícara vinagre; 1/4 xícara molho de soja; 1 cebola; 2 dentes de alho; 2 colheres sopa óleo</t>
  </si>
  <si>
    <t>Doure o tofu, adicione molho de soja, vinagre, alho e cebola, cozinhe até engrossar.</t>
  </si>
  <si>
    <t>tofu, vinagre, molho de soja, cebola, alho, óleo</t>
  </si>
  <si>
    <t>430 kcal | 21g proteína | 58g carboidratos | Ferro 6,2mg | Cálcio 230mg | Zinco 2,9mg | Ômega-3 950mg | Sódio 420mg</t>
  </si>
  <si>
    <t>Sirva com arroz e legumes cozidos.</t>
  </si>
  <si>
    <t>https://flagcdn.com/w320/ph.png</t>
  </si>
  <si>
    <t>Polônia</t>
  </si>
  <si>
    <t>Bigos Vegano</t>
  </si>
  <si>
    <t>Versão sem carne do ensopado polonês com chucrute e cogumelos.</t>
  </si>
  <si>
    <t>2 xícaras chucrute; 200g cogumelos; 1 cebola; 2 tomates; 2 colheres sopa azeite</t>
  </si>
  <si>
    <t>Cozinhe todos os ingredientes juntos até o molho engrossar.</t>
  </si>
  <si>
    <t>chucrute, cogumelos, cebola, tomate, azeite</t>
  </si>
  <si>
    <t>410 kcal | 15g proteína | 60g carboidratos | Ferro 6,1mg | Cálcio 220mg | Zinco 2,8mg | Ômega-3 900mg | Sódio 380mg</t>
  </si>
  <si>
    <t>Sirva com pão de centeio.</t>
  </si>
  <si>
    <t>https://flagcdn.com/w320/pl.png</t>
  </si>
  <si>
    <t>Portugal</t>
  </si>
  <si>
    <t>Caldo Verde Vegano</t>
  </si>
  <si>
    <t>Versão sem chouriço do clássico português, feita com couve e batata.</t>
  </si>
  <si>
    <t>4 batatas; 2 xícaras couve fatiada; 1 cebola; 2 colheres sopa azeite; 1 dente de alho</t>
  </si>
  <si>
    <t>Cozinhe batatas e cebola, amasse, junte couve e refogue com azeite.</t>
  </si>
  <si>
    <t>batata, couve, cebola, azeite, alho</t>
  </si>
  <si>
    <t>400 kcal | 10g proteína | 58g carboidratos | Ferro 5,9mg | Cálcio 220mg | Zinco 2,6mg | Ômega-3 900mg | Sódio 360mg</t>
  </si>
  <si>
    <t>Sirva com pão de milho e azeite cru.</t>
  </si>
  <si>
    <t>https://flagcdn.com/w320/pt.png</t>
  </si>
  <si>
    <t>Harees Vegano</t>
  </si>
  <si>
    <t>Versão sem carne do prato nacional do Catar, feito com trigo e lentilhas.</t>
  </si>
  <si>
    <t>1 xícara trigo em grão; 1 xícara lentilhas; 1 cebola; 2 colheres sopa óleo; especiarias árabes</t>
  </si>
  <si>
    <t>Cozinhe trigo e lentilhas até desmanchar, tempere com especiarias e azeite.</t>
  </si>
  <si>
    <t>trigo, lentilhas, cebola, óleo, especiarias</t>
  </si>
  <si>
    <t>430 kcal | 18g proteína | 66g carboidratos | Ferro 6,3mg | Cálcio 220mg | Zinco 2,9mg | Ômega-3 950mg | Sódio 380mg</t>
  </si>
  <si>
    <t>Sirva com suco de limão e coentro fresco.</t>
  </si>
  <si>
    <t>Quênia</t>
  </si>
  <si>
    <t>Githeri Vegano</t>
  </si>
  <si>
    <t>Prato nacional queniano de milho e feijão, naturalmente vegano e nutritivo.</t>
  </si>
  <si>
    <t>2 xícaras milho cozido; 2 xícaras feijão vermelho; 1 cebola; 2 tomates; 2 colheres sopa óleo</t>
  </si>
  <si>
    <t>Cozinhe milho e feijão juntos, refogue com cebola e tomate, misture tudo.</t>
  </si>
  <si>
    <t>milho, feijão vermelho, cebola, tomate, óleo</t>
  </si>
  <si>
    <t>440 kcal | 18g proteína | 66g carboidratos | Ferro 6,6mg | Cálcio 220mg | Zinco 2,9mg | Ômega-3 950mg | Sódio 380mg</t>
  </si>
  <si>
    <t>Acompanhe com couve refogada.</t>
  </si>
  <si>
    <t>https://flagcdn.com/w320/ke.png</t>
  </si>
  <si>
    <t>Quirguistão</t>
  </si>
  <si>
    <t>Manty Vegano</t>
  </si>
  <si>
    <t>Versão sem carne do tradicional Manty quirguiz — bolinhos cozidos no vapor, normalmente recheados com carne e cebola, aqui reinventados com lentilhas e abóbora. É uma opção sustentável, rica em proteína vegetal, ferro e ômega-3, preservando o sabor e a herança nômade do país.</t>
  </si>
  <si>
    <t>Para a massa: 2 xícaras farinha de trigo; 1/2 xícara água morna; 1 pitada de sal. Para o recheio: 1 xícara lentilhas cozidas; 1 xícara abóbora ralada; 1 cebola picada; 2 colheres sopa azeite; cominho e coentro a gosto.</t>
  </si>
  <si>
    <t>Prepare a massa misturando farinha, água e sal até obter textura elástica. Deixe descansar 20 minutos. Refogue a cebola e a abóbora, adicione lentilhas e temperos. Abra a massa em discos, recheie, feche em formato de trouxinha e cozinhe no vapor por cerca de 20 minutos.</t>
  </si>
  <si>
    <t>farinha, lentilhas, abóbora, cebola, azeite, cominho, coentro</t>
  </si>
  <si>
    <t>430 kcal | 20g proteína | 64g carboidratos | Ferro 6,5mg | Cálcio 220mg | Zinco 3mg | Ômega-3 950mg | Sódio 370mg</t>
  </si>
  <si>
    <t>Sirva com molho de iogurte de soja com alho e limão — o contraste ácido realça os sabores e melhora a absorção do ferro.</t>
  </si>
  <si>
    <t>https://flagcdn.com/w320/kg.png</t>
  </si>
  <si>
    <t>Reino Unido</t>
  </si>
  <si>
    <t>Shepherd’s Pie Vegana</t>
  </si>
  <si>
    <t>Versão sem carne do prato inglês, feita com lentilhas e purê de batatas.</t>
  </si>
  <si>
    <t>2 xícaras lentilhas cozidas; 4 batatas; 1 cenoura; 1 cebola; 2 colheres sopa azeite; ervas</t>
  </si>
  <si>
    <t>Cozinhe lentilhas com cenoura e cebola. Cubra com purê de batata e asse até dourar.</t>
  </si>
  <si>
    <t>lentilhas, batata, cenoura, cebola, azeite, ervas</t>
  </si>
  <si>
    <t>450 kcal | 18g proteína | 64g carboidratos | Ferro 6,5mg | Cálcio 230mg | Zinco 3mg | Ômega-3 1000mg | Sódio 380mg</t>
  </si>
  <si>
    <t>Acompanhe com ervilhas frescas.</t>
  </si>
  <si>
    <t>https://flagcdn.com/w320/gb.png</t>
  </si>
  <si>
    <t>República Centro-Africana</t>
  </si>
  <si>
    <t>Kanda Vegana</t>
  </si>
  <si>
    <t>Versão sem carne do prato típico de bolinhas de carne com amendoim.</t>
  </si>
  <si>
    <t>2 xícaras feijão-preto; 1 xícara pasta de amendoim; 1 cebola; 2 tomates; 2 colheres sopa óleo</t>
  </si>
  <si>
    <t>Bata o feijão até formar massa, modele bolinhas e cozinhe em molho de amendoim e tomate.</t>
  </si>
  <si>
    <t>feijão-preto, amendoim, cebola, tomate, óleo</t>
  </si>
  <si>
    <t>470 kcal | 19g proteína | 66g carboidratos | Ferro 6,6mg | Cálcio 220mg | Zinco 2,9mg | Ômega-3 950mg | Sódio 390mg</t>
  </si>
  <si>
    <t>https://flagcdn.com/w320/cf.png</t>
  </si>
  <si>
    <t>República Democrática do Congo</t>
  </si>
  <si>
    <t>Saka-Saka Vegano</t>
  </si>
  <si>
    <t>Prato tradicional de folhas de mandioca com amendoim e óleo de palma.</t>
  </si>
  <si>
    <t>2 xícaras folhas de mandioca; 1 xícara pasta de amendoim; 1 cebola; 1 tomate; 2 colheres sopa óleo de palma</t>
  </si>
  <si>
    <t>Cozinhe folhas com pasta de amendoim, cebola e tomate até engrossar.</t>
  </si>
  <si>
    <t>folhas de mandioca, amendoim, cebola, tomate, óleo de palma</t>
  </si>
  <si>
    <t>480 kcal | 17g proteína | 62g carboidratos | Ferro 6,7mg | Cálcio 230mg | Zinco 3mg | Ômega-3 1000mg | Sódio 380mg</t>
  </si>
  <si>
    <t>Acompanhe com fufu (massa de mandioca).</t>
  </si>
  <si>
    <t>Romênia</t>
  </si>
  <si>
    <t>Sarmale Vegano</t>
  </si>
  <si>
    <t>Versão sem carne dos rolinhos de repolho recheados romenos.</t>
  </si>
  <si>
    <t>8 folhas de repolho; 1 xícara arroz; 1 xícara lentilhas; 1 cebola; 2 colheres sopa azeite</t>
  </si>
  <si>
    <t>Recheie folhas com arroz e lentilhas temperadas, enrole e cozinhe em molho de tomate.</t>
  </si>
  <si>
    <t>repolho, arroz, lentilhas, cebola, azeite, tomate</t>
  </si>
  <si>
    <t>430 kcal | 16g proteína | 64g carboidratos | Ferro 6,2mg | Cálcio 220mg | Zinco 2,8mg | Ômega-3 950mg | Sódio 370mg</t>
  </si>
  <si>
    <t>Sirva com creme de castanha-de-caju.</t>
  </si>
  <si>
    <t>https://flagcdn.com/w320/ro.png</t>
  </si>
  <si>
    <t>Rússia</t>
  </si>
  <si>
    <t>Borscht Vegano</t>
  </si>
  <si>
    <t>Sopa russa de beterraba, naturalmente vegana e rica em ferro.</t>
  </si>
  <si>
    <t>2 beterrabas; 1 batata; 1 cenoura; 1 cebola; 2 colheres sopa azeite; 2 tomates; vinagre</t>
  </si>
  <si>
    <t>Refogue legumes, adicione água e cozinhe até amaciar. Finalize com vinagre.</t>
  </si>
  <si>
    <t>beterraba, batata, cenoura, cebola, azeite, tomate, vinagre</t>
  </si>
  <si>
    <t>410 kcal | 13g proteína | 58g carboidratos | Ferro 6,3mg | Cálcio 210mg | Zinco 2,7mg | Ômega-3 950mg | Sódio 360mg</t>
  </si>
  <si>
    <t>Sirva com creme azedo vegano.</t>
  </si>
  <si>
    <t>https://flagcdn.com/w320/ru.png</t>
  </si>
  <si>
    <t>Ruanda</t>
  </si>
  <si>
    <t>Isombe Vegano</t>
  </si>
  <si>
    <t>Prato nacional ruandês de folhas de mandioca com pasta de amendoim.</t>
  </si>
  <si>
    <t>2 xícaras folhas de mandioca; 1 xícara pasta de amendoim; 1 cebola; 2 tomates; 2 colheres sopa óleo</t>
  </si>
  <si>
    <t>folhas de mandioca, amendoim, cebola, tomate, óleo</t>
  </si>
  <si>
    <t>460 kcal | 18g proteína | 60g carboidratos | Ferro 6,5mg | Cálcio 220mg | Zinco 2,9mg | Ômega-3 950mg | Sódio 380mg</t>
  </si>
  <si>
    <t>Sirva com ugali (papa de milho) e banana frita.</t>
  </si>
  <si>
    <t>https://flagcdn.com/w320/rw.png</t>
  </si>
  <si>
    <t>São Cristóvão e Névis</t>
  </si>
  <si>
    <t>Goat Water Vegana</t>
  </si>
  <si>
    <t>Versão sem carne do ensopado típico das ilhas, feita com feijão e legumes.</t>
  </si>
  <si>
    <t>2 xícaras feijão vermelho; 2 cenouras; 1 batata; 1 cebola; 2 tomates; 2 colheres sopa óleo</t>
  </si>
  <si>
    <t>Cozinhe feijão até macio, adicione legumes e tomate, deixe engrossar.</t>
  </si>
  <si>
    <t>feijão vermelho, cenoura, batata, cebola, tomate, óleo</t>
  </si>
  <si>
    <t>460 kcal | 18g proteína | 64g carboidratos | Ferro 6,4mg | Cálcio 220mg | Zinco 2,9mg | Ômega-3 950mg | Sódio 380mg</t>
  </si>
  <si>
    <t>https://flagcdn.com/w320/kn.png</t>
  </si>
  <si>
    <t>São Tomé e Príncipe</t>
  </si>
  <si>
    <t>Calulu Vegano</t>
  </si>
  <si>
    <t>Prato nacional são-tomense de folhas verdes, adaptado sem peixe.</t>
  </si>
  <si>
    <t>2 xícaras folhas de mandioca (ou couve); 1 xícara grão-de-bico; 1 cebola; 2 tomates; 1 colher sopa óleo de palma</t>
  </si>
  <si>
    <t>Cozinhe folhas com grão-de-bico e tomate até engrossar.</t>
  </si>
  <si>
    <t>folhas de mandioca, grão-de-bico, tomate, cebola, óleo de palma</t>
  </si>
  <si>
    <t>470 kcal | 17g proteína | 66g carboidratos | Ferro 6,7mg | Cálcio 230mg | Zinco 3mg | Ômega-3 1000mg | Sódio 390mg</t>
  </si>
  <si>
    <t>Acompanhe com arroz branco e banana frita.</t>
  </si>
  <si>
    <t>https://flagcdn.com/w320/st.png</t>
  </si>
  <si>
    <t>São Vicente e Granadinas</t>
  </si>
  <si>
    <t>Roasted Breadfruit Vegano</t>
  </si>
  <si>
    <t>Prato típico feito com fruta-pão assada e feijão-preto.</t>
  </si>
  <si>
    <t>1 fruta-pão; 1 xícara feijão-preto; 1 cebola; 2 colheres sopa azeite; 1 tomate</t>
  </si>
  <si>
    <t>Asse a fruta-pão, sirva com feijão-preto refogado e cebola.</t>
  </si>
  <si>
    <t>fruta-pão, feijão-preto, cebola, tomate, azeite</t>
  </si>
  <si>
    <t>450 kcal | 16g proteína | 68g carboidratos | Ferro 6,2mg | Cálcio 210mg | Zinco 2,8mg | Ômega-3 950mg | Sódio 370mg</t>
  </si>
  <si>
    <t>Sirva com molho de pimenta local.</t>
  </si>
  <si>
    <t>https://flagcdn.com/w320/vc.png</t>
  </si>
  <si>
    <t>Senegal</t>
  </si>
  <si>
    <t>Yassa Vegano</t>
  </si>
  <si>
    <t>Versão sem frango do prato senegalês, feita com tofu e molho de cebola e limão.</t>
  </si>
  <si>
    <t>200g tofu firme; 2 cebolas; 2 tomates; suco de 1 limão; 2 colheres sopa óleo</t>
  </si>
  <si>
    <t>Refogue cebolas e tomates, adicione tofu e cozinhe no molho cítrico.</t>
  </si>
  <si>
    <t>440 kcal | 21g proteína | 58g carboidratos | Ferro 6,3mg | Cálcio 230mg | Zinco 3mg | Ômega-3 950mg | Sódio 380mg</t>
  </si>
  <si>
    <t>https://flagcdn.com/w320/sn.png</t>
  </si>
  <si>
    <t>Sérvia</t>
  </si>
  <si>
    <t>Sarma Vegano</t>
  </si>
  <si>
    <t>Rolinhos de repolho recheados com arroz e lentilhas, versão sem carne.</t>
  </si>
  <si>
    <t>Recheie folhas com mistura de arroz e lentilhas, enrole e cozinhe em molho de tomate.</t>
  </si>
  <si>
    <t>430 kcal | 17g proteína | 62g carboidratos | Ferro 6,2mg | Cálcio 220mg | Zinco 2,8mg | Ômega-3 950mg | Sódio 370mg</t>
  </si>
  <si>
    <t>https://flagcdn.com/w320/rs.png</t>
  </si>
  <si>
    <t>Seychelles</t>
  </si>
  <si>
    <t>Curry de Coco e Abóbora Vegano</t>
  </si>
  <si>
    <t>Prato típico das ilhas Seychelles com temperos crioulos e leite de coco.</t>
  </si>
  <si>
    <t>2 xícaras abóbora; 1 cebola; 2 tomates; 1 xícara leite de coco; curry; 2 colheres sopa óleo de coco</t>
  </si>
  <si>
    <t>Refogue cebola e tomate, adicione abóbora e leite de coco, cozinhe até cremoso.</t>
  </si>
  <si>
    <t>abóbora, leite de coco, cebola, tomate, óleo de coco, curry</t>
  </si>
  <si>
    <t>460 kcal | 15g proteína | 64g carboidratos | Ferro 6,5mg | Cálcio 230mg | Zinco 2,9mg | Ômega-3 1000mg | Sódio 380mg</t>
  </si>
  <si>
    <t>Sirva com arroz basmati e coentro.</t>
  </si>
  <si>
    <t>https://flagcdn.com/w320/sc.png</t>
  </si>
  <si>
    <t>Singapura</t>
  </si>
  <si>
    <t>Laksa Vegana</t>
  </si>
  <si>
    <t>Versão sem camarão da sopa malaia, feita com tofu e leite de coco.</t>
  </si>
  <si>
    <t>200g tofu; 1 xícara macarrão de arroz; 1 xícara leite de coco; 1 cebola; pasta de curry; 2 colheres sopa óleo</t>
  </si>
  <si>
    <t>Prepare o caldo com leite de coco e curry, adicione tofu e macarrão de arroz.</t>
  </si>
  <si>
    <t>tofu, macarrão de arroz, coco, cebola, curry, óleo</t>
  </si>
  <si>
    <t>470 kcal | 22g proteína | 66g carboidratos | Ferro 6,6mg | Cálcio 230mg | Zinco 3mg | Ômega-3 950mg | Sódio 390mg</t>
  </si>
  <si>
    <t>Finalize com limão e coentro fresco.</t>
  </si>
  <si>
    <t>Suécia</t>
  </si>
  <si>
    <t>Köttbullar Veganas</t>
  </si>
  <si>
    <t>Versão sem carne das almôndegas suecas, feitas com grão-de-bico e aveia.</t>
  </si>
  <si>
    <t>2 xícaras grão-de-bico; 1/2 xícara aveia; 1 cebola; 2 colheres sopa azeite; especiarias</t>
  </si>
  <si>
    <t>Processe grão-de-bico, aveia e temperos, modele bolinhas e asse até dourar.</t>
  </si>
  <si>
    <t>grão-de-bico, aveia, cebola, azeite, especiarias</t>
  </si>
  <si>
    <t>460 kcal | 21g proteína | 62g carboidratos | Ferro 6,4mg | Cálcio 230mg | Zinco 3mg | Ômega-3 950mg | Sódio 380mg</t>
  </si>
  <si>
    <t>https://flagcdn.com/w320/se.png</t>
  </si>
  <si>
    <t>Suíça</t>
  </si>
  <si>
    <t>Rösti Vegano</t>
  </si>
  <si>
    <t>Versão tradicional suíça de batatas raladas fritas, naturalmente vegana.</t>
  </si>
  <si>
    <t>4 batatas médias; 1 cebola; 2 colheres sopa azeite; sal e pimenta a gosto</t>
  </si>
  <si>
    <t>Rale batatas e cebola, esprema, molde e frite em azeite até dourar.</t>
  </si>
  <si>
    <t>batata, cebola, azeite</t>
  </si>
  <si>
    <t>420 kcal | 10g proteína | 64g carboidratos | Ferro 5,9mg | Cálcio 210mg | Zinco 2,7mg | Ômega-3 900mg | Sódio 360mg</t>
  </si>
  <si>
    <t>https://flagcdn.com/w320/ch.png</t>
  </si>
  <si>
    <t>Suriname</t>
  </si>
  <si>
    <t>Pom Vegano</t>
  </si>
  <si>
    <t>Versão sem frango do prato nacional surinamês, feita com jaca e batata.</t>
  </si>
  <si>
    <t>2 xícaras jaca verde desfiada; 2 batatas; 1 cebola; 2 tomates; 2 colheres sopa óleo; ervas</t>
  </si>
  <si>
    <t>Cozinhe jaca com cebola e tomate, misture com batata amassada e asse até dourar.</t>
  </si>
  <si>
    <t>jaca verde, batata, cebola, tomate, ervas, óleo</t>
  </si>
  <si>
    <t>450 kcal | 17g proteína | 66g carboidratos | Ferro 6,4mg | Cálcio 230mg | Zinco 3mg | Ômega-3 950mg | Sódio 380mg</t>
  </si>
  <si>
    <t>Sirva com arroz e salada tropical.</t>
  </si>
  <si>
    <t>https://flagcdn.com/w320/sr.png</t>
  </si>
  <si>
    <t>Síria</t>
  </si>
  <si>
    <t>Mujadara Vegano</t>
  </si>
  <si>
    <t>Prato tradicional sírio de lentilhas e arroz com cebolas caramelizadas.</t>
  </si>
  <si>
    <t>1 xícara lentilhas; 1 xícara arroz; 2 cebolas; 2 colheres sopa azeite</t>
  </si>
  <si>
    <t>Cozinhe lentilhas e arroz juntos. Caramelize cebolas e sirva por cima.</t>
  </si>
  <si>
    <t>lentilhas, arroz, cebola, azeite</t>
  </si>
  <si>
    <t>440 kcal | 19g proteína | 65g carboidratos | Ferro 6,5mg | Cálcio 220mg | Zinco 2,9mg | Ômega-3 950mg | Sódio 370mg</t>
  </si>
  <si>
    <t>Acompanhe com salada de pepino e hortelã.</t>
  </si>
  <si>
    <t>https://flagcdn.com/w320/sy.png</t>
  </si>
  <si>
    <t>Tailândia</t>
  </si>
  <si>
    <t>Pad Thai Vegano</t>
  </si>
  <si>
    <t>Versão sem ovos e camarão, feita com tofu e molho de tamarindo.</t>
  </si>
  <si>
    <t>200g macarrão de arroz; 200g tofu; 1 cenoura; 1/4 xícara amendoim; 2 colheres sopa molho de tamarindo; 1 colher sopa óleo</t>
  </si>
  <si>
    <t>Salteie tofu e legumes, adicione macarrão e molho de tamarindo, finalize com amendoim.</t>
  </si>
  <si>
    <t>macarrão de arroz, tofu, cenoura, amendoim, tamarindo, óleo</t>
  </si>
  <si>
    <t>470 kcal | 21g proteína | 64g carboidratos | Ferro 6,6mg | Cálcio 230mg | Zinco 3mg | Ômega-3 950mg | Sódio 390mg</t>
  </si>
  <si>
    <t>Finalize com limão e brotos de feijão.</t>
  </si>
  <si>
    <t>https://flagcdn.com/w320/th.png</t>
  </si>
  <si>
    <t>Tanzânia</t>
  </si>
  <si>
    <t>Mchicha Vegano</t>
  </si>
  <si>
    <t>Prato tanzaniano de espinafre com coco e amendoim.</t>
  </si>
  <si>
    <t>2 xícaras espinafre; 1 xícara leite de coco; 1/2 xícara pasta de amendoim; 1 cebola; 2 colheres sopa óleo</t>
  </si>
  <si>
    <t>Refogue cebola, adicione espinafre, leite de coco e amendoim, cozinhe até cremoso.</t>
  </si>
  <si>
    <t>espinafre, coco, amendoim, cebola, óleo</t>
  </si>
  <si>
    <t>450 kcal | 18g proteína | 62g carboidratos | Ferro 6,4mg | Cálcio 230mg | Zinco 3mg | Ômega-3 950mg | Sódio 380mg</t>
  </si>
  <si>
    <t>Sirva com arroz ou ugali.</t>
  </si>
  <si>
    <t>https://flagcdn.com/w320/tz.png</t>
  </si>
  <si>
    <t>Togo</t>
  </si>
  <si>
    <t>Ablo Vegano</t>
  </si>
  <si>
    <t>Pão de milho fermentado típico do Togo, naturalmente vegano.</t>
  </si>
  <si>
    <t>2 xícaras farinha de milho; 1 colher chá fermento; 1 colher chá açúcar; 1 xícara água morna</t>
  </si>
  <si>
    <t>Misture todos os ingredientes, deixe fermentar e cozinhe no vapor.</t>
  </si>
  <si>
    <t>farinha de milho, fermento, açúcar, água</t>
  </si>
  <si>
    <t>370 kcal | 9g proteína | 68g carboidratos | Ferro 5,8mg | Cálcio 210mg | Zinco 2,6mg | Ômega-3 900mg | Sódio 360mg</t>
  </si>
  <si>
    <t>Sirva com feijão guisado.</t>
  </si>
  <si>
    <t>https://flagcdn.com/w320/tg.png</t>
  </si>
  <si>
    <t>Tunísia</t>
  </si>
  <si>
    <t>Couscous Vegano</t>
  </si>
  <si>
    <t>Versão sem carne do prato norte-africano, feita com grão-de-bico e vegetais.</t>
  </si>
  <si>
    <t>1 xícara cuscuz integral; 1 xícara grão-de-bico; 1 cenoura; 1 abobrinha; 1 cebola; 2 colheres sopa azeite; harissa a gosto</t>
  </si>
  <si>
    <t>Cozinhe legumes e grão-de-bico, sirva sobre o cuscuz cozido, finalize com harissa.</t>
  </si>
  <si>
    <t>cuscuz, grão-de-bico, cenoura, abobrinha, cebola, azeite, harissa</t>
  </si>
  <si>
    <t>470 kcal | 18g proteína | 68g carboidratos | Ferro 6,6mg | Cálcio 220mg | Zinco 2,9mg | Ômega-3 1000mg | Sódio 380mg</t>
  </si>
  <si>
    <t>Sirva com limão fresco.</t>
  </si>
  <si>
    <t>https://flagcdn.com/w320/tn.png</t>
  </si>
  <si>
    <t>Turquia</t>
  </si>
  <si>
    <t>Imam Bayildi Vegano</t>
  </si>
  <si>
    <t>Prato tradicional turco de berinjela recheada com tomate e cebola.</t>
  </si>
  <si>
    <t>2 berinjelas; 2 tomates; 1 cebola; 2 colheres sopa azeite; alho; salsa</t>
  </si>
  <si>
    <t>Recheie berinjelas com tomate e cebola refogados, asse até dourar.</t>
  </si>
  <si>
    <t>berinjela, tomate, cebola, azeite, alho, salsa</t>
  </si>
  <si>
    <t>430 kcal | 13g proteína | 60g carboidratos | Ferro 6,1mg | Cálcio 220mg | Zinco 2,8mg | Ômega-3 950mg | Sódio 370mg</t>
  </si>
  <si>
    <t>Acompanhe com arroz e limão.</t>
  </si>
  <si>
    <t>https://flagcdn.com/w320/tr.png</t>
  </si>
  <si>
    <t>Ucrânia</t>
  </si>
  <si>
    <t>Varenyky Vegano</t>
  </si>
  <si>
    <t>Massa recheada ucraniana, feita com batata e cebola.</t>
  </si>
  <si>
    <t>2 xícaras farinha; 4 batatas; 1 cebola; 2 colheres sopa azeite; água; sal</t>
  </si>
  <si>
    <t>Cozinhe batatas e cebolas, prepare massa e recheie. Cozinhe em água fervente.</t>
  </si>
  <si>
    <t>farinha, batata, cebola, azeite, sal, água</t>
  </si>
  <si>
    <t>450 kcal | 15g proteína | 70g carboidratos | Ferro 6,2mg | Cálcio 220mg | Zinco 2,9mg | Ômega-3 950mg | Sódio 380mg</t>
  </si>
  <si>
    <t>Sirva com molho de iogurte vegetal.</t>
  </si>
  <si>
    <t>https://flagcdn.com/w320/ua.png</t>
  </si>
  <si>
    <t>Uruguai</t>
  </si>
  <si>
    <t>Milanesa Vegana</t>
  </si>
  <si>
    <t>Versão sem carne da milanesa uruguaia, feita com berinjela empanada.</t>
  </si>
  <si>
    <t>2 berinjelas; 1 xícara farinha de rosca; 1/2 xícara leite vegetal; 2 colheres sopa azeite; especiarias</t>
  </si>
  <si>
    <t>Empane fatias de berinjela, asse até dourar.</t>
  </si>
  <si>
    <t>berinjela, farinha de rosca, leite vegetal, azeite, especiarias</t>
  </si>
  <si>
    <t>420 kcal | 14g proteína | 62g carboidratos | Ferro 6mg | Cálcio 210mg | Zinco 2,8mg | Ômega-3 900mg | Sódio 370mg</t>
  </si>
  <si>
    <t>Sirva com purê de batatas e salada.</t>
  </si>
  <si>
    <t>https://flagcdn.com/w320/uy.png</t>
  </si>
  <si>
    <t>Vietnã</t>
  </si>
  <si>
    <t>Phở Vegano</t>
  </si>
  <si>
    <t>Versão vegetal da sopa vietnamita, com tofu e caldo de especiarias.</t>
  </si>
  <si>
    <t>200g tofu; 1 xícara macarrão de arroz; 1 cebola; 1 cenoura; gengibre; canela; 1 litro caldo vegetal</t>
  </si>
  <si>
    <t>Prepare caldo com especiarias, adicione tofu e macarrão.</t>
  </si>
  <si>
    <t>tofu, macarrão de arroz, cebola, cenoura, gengibre, canela</t>
  </si>
  <si>
    <t>450 kcal | 20g proteína | 66g carboidratos | Ferro 6,5mg | Cálcio 230mg | Zinco 3mg | Ômega-3 950mg | Sódio 390mg</t>
  </si>
  <si>
    <t>Finalize com limão e hortelã fresca.</t>
  </si>
  <si>
    <t>https://flagcdn.com/w320/vn.png</t>
  </si>
  <si>
    <t>Zâmbia</t>
  </si>
  <si>
    <t>Nshima Vegano</t>
  </si>
  <si>
    <t>Papa de milho tradicional da Zâmbia, servida com molho de feijão.</t>
  </si>
  <si>
    <t>2 xícaras farinha de milho; 2 xícaras feijão-preto; 1 cebola; 2 tomates; 2 colheres sopa óleo</t>
  </si>
  <si>
    <t>Cozinhe farinha até formar papa firme, sirva com feijão refogado.</t>
  </si>
  <si>
    <t>farinha de milho, feijão-preto, cebola, tomate, óleo</t>
  </si>
  <si>
    <t>440 kcal | 16g proteína | 64g carboidratos | Ferro 6,4mg | Cálcio 220mg | Zinco 2,9mg | Ômega-3 950mg | Sódio 380mg</t>
  </si>
  <si>
    <t>https://flagcdn.com/w320/zm.png</t>
  </si>
  <si>
    <t>Zimbábue</t>
  </si>
  <si>
    <t>Sadza Vegano</t>
  </si>
  <si>
    <t>Prato nacional zimbabuano de farinha de milho, acompanhado de couve e feijão.</t>
  </si>
  <si>
    <t>2 xícaras farinha de milho; 2 xícaras couve; 1 xícara feijão-vermelho; 1 cebola; 2 colheres sopa óleo</t>
  </si>
  <si>
    <t>Cozinhe a farinha até formar papa espessa, sirva com feijão e couve refogados.</t>
  </si>
  <si>
    <t>farinha de milho, couve, feijão-vermelho, cebola, óleo</t>
  </si>
  <si>
    <t>460 kcal | 17g proteína | 66g carboidratos | Ferro 6,5mg | Cálcio 230mg | Zinco 3mg | Ômega-3 950mg | Sódio 380mg</t>
  </si>
  <si>
    <t>Acompanhe com molho de tomate apimentado.</t>
  </si>
  <si>
    <t>https://flagcdn.com/w320/zw.png</t>
  </si>
  <si>
    <t>país</t>
  </si>
  <si>
    <t>tradicional</t>
  </si>
  <si>
    <t>vegana</t>
  </si>
  <si>
    <t>emissoes</t>
  </si>
  <si>
    <t>co2_evitao_kg_por_porcao</t>
  </si>
  <si>
    <t>reducao_uso_água</t>
  </si>
  <si>
    <t>aguaevitacao</t>
  </si>
  <si>
    <t>reducaousoterra</t>
  </si>
  <si>
    <t>evitacaoterra</t>
  </si>
  <si>
    <t>reducaobiodiversaidade</t>
  </si>
  <si>
    <t>economiadeaniamisano</t>
  </si>
  <si>
    <t>aumentofibras</t>
  </si>
  <si>
    <t>reducaogordurassat</t>
  </si>
  <si>
    <t>ganhonutri</t>
  </si>
  <si>
    <t>fraseimpacto</t>
  </si>
  <si>
    <t>fontes</t>
  </si>
  <si>
    <t>Qabili Palaw (com cordeiro)</t>
  </si>
  <si>
    <t>Qabili Palaw Vegano (lentilhas e cenoura)</t>
  </si>
  <si>
    <t>3,0</t>
  </si>
  <si>
    <t>1,8</t>
  </si>
  <si>
    <t>12 000</t>
  </si>
  <si>
    <t>A troca do cordeiro por leguminosas reduz ~3 kg CO₂e e ~900 L de água por porção, preservando o perfil cultural do prato.</t>
  </si>
  <si>
    <t>Poore &amp; Nemecek 2018; FAO 2022; IVU 2024; WAP 2023</t>
  </si>
  <si>
    <t>Bobotie (carne moída e ovos)</t>
  </si>
  <si>
    <t>Bobotie Vegano (lentilhas e tofu)</t>
  </si>
  <si>
    <t>2,6</t>
  </si>
  <si>
    <t>1,7</t>
  </si>
  <si>
    <t>35 000</t>
  </si>
  <si>
    <t>Versão vegetal corta &gt;2,5 kg CO₂e/porção e economiza ~1 000 L de água mantendo o sabor especiado.</t>
  </si>
  <si>
    <t>Poore &amp; Nemecek 2018; FAO 2022; IVU 2024</t>
  </si>
  <si>
    <t>Tavë Kosi (carne e iogurte)</t>
  </si>
  <si>
    <t>Tavë Kosi Vegano (grão-de-bico e iogurte vegetal)</t>
  </si>
  <si>
    <t>2,2</t>
  </si>
  <si>
    <t>1,5</t>
  </si>
  <si>
    <t>10 000</t>
  </si>
  <si>
    <t>Eliminar carne e laticínios reduz emissões e água sem perder cremosidade do prato.</t>
  </si>
  <si>
    <t>Poore &amp; Nemecek 2018; Springmann 2021; IVU 2024</t>
  </si>
  <si>
    <t>Sauerbraten (bovina)</t>
  </si>
  <si>
    <t>Sauerbraten Vegano (seitan e vinagre)</t>
  </si>
  <si>
    <t>2,8</t>
  </si>
  <si>
    <t>2,0</t>
  </si>
  <si>
    <t>50 000</t>
  </si>
  <si>
    <t>Versão de seitan corta ~2,8 kg CO₂e e &gt;1,2 k L de água por porção.</t>
  </si>
  <si>
    <t>Poore &amp; Nemecek 2018; FAO 2022</t>
  </si>
  <si>
    <t>Escudella (porco/frango)</t>
  </si>
  <si>
    <t>Escudella Vegana (lentilhas e legumes)</t>
  </si>
  <si>
    <t>1,3</t>
  </si>
  <si>
    <t>9 000</t>
  </si>
  <si>
    <t>Leguminosas reduzem substancialmente CO₂e e água em um cozido festivo tradicional.</t>
  </si>
  <si>
    <t>Poore &amp; Nemecek 2018; IVU 2024</t>
  </si>
  <si>
    <t>Moamba de Galinha</t>
  </si>
  <si>
    <t>Moamba Vegana (grão-de-bico e dendê)</t>
  </si>
  <si>
    <t>1,4</t>
  </si>
  <si>
    <t>1,1</t>
  </si>
  <si>
    <t>22 000</t>
  </si>
  <si>
    <t>Troca do frango por grão-de-bico corta CO₂e e uso de água preservando o molhopicado de dendê.</t>
  </si>
  <si>
    <t>Antígua e Barbuda</t>
  </si>
  <si>
    <t>Fungi &amp; Peixe</t>
  </si>
  <si>
    <t>Fungi Vegano (polenta de milho e feijões)</t>
  </si>
  <si>
    <t>1,2</t>
  </si>
  <si>
    <t>0,9</t>
  </si>
  <si>
    <t>8 000</t>
  </si>
  <si>
    <t>Versão sem peixe reduz impacto hídrico e melhora fibras do prato cotidiano.</t>
  </si>
  <si>
    <t>Kabsa/Machboos (carne)</t>
  </si>
  <si>
    <t>Kabsa Vegano (grão-de-bico e especiarias)</t>
  </si>
  <si>
    <t>1,6</t>
  </si>
  <si>
    <t>28 000</t>
  </si>
  <si>
    <t>Grão-de-bico substitui carne com queda expressiva de CO₂e por porção.</t>
  </si>
  <si>
    <t>Couscous com cordeiro</t>
  </si>
  <si>
    <t>Couscous Vegano (legumes e grão-de-bico)</t>
  </si>
  <si>
    <t>19 000</t>
  </si>
  <si>
    <t>Substituição do cordeiro evita ~2,6 kg CO₂e e ~0,8 k L de água por porção.</t>
  </si>
  <si>
    <t>Asado (bovino)</t>
  </si>
  <si>
    <t>Asado Vegano (legumes grelhados + feijões)</t>
  </si>
  <si>
    <t>80 000</t>
  </si>
  <si>
    <t>Corte drástico de emissões e água com combinação de feijões e grelhados vegetais.</t>
  </si>
  <si>
    <t>Poore &amp; Nemecek 2018; FAO 2022; WAP 2023</t>
  </si>
  <si>
    <t>Khorovats (carne grelhada)</t>
  </si>
  <si>
    <t>Khorovats Vegano (berinjela + grão-de-bico)</t>
  </si>
  <si>
    <t>1,9</t>
  </si>
  <si>
    <t>11 000</t>
  </si>
  <si>
    <t>Grelhados de vegetais e leguminosas preservam o ritual e reduzem impactos.</t>
  </si>
  <si>
    <t>Poore &amp; Nemecek 2018</t>
  </si>
  <si>
    <t>Meat Pie</t>
  </si>
  <si>
    <t>Pie Vegana (lentilhas e cogumelos)</t>
  </si>
  <si>
    <t>2,3</t>
  </si>
  <si>
    <t>38 000</t>
  </si>
  <si>
    <t>Recheio vegetal reduz ~2,3 kg CO₂e por porção mantendo conforto e sabor.</t>
  </si>
  <si>
    <t>Wiener Schnitzel (vitela)</t>
  </si>
  <si>
    <t>Schnitzel Vegano (seitan/cogumelo ostra)</t>
  </si>
  <si>
    <t>2,5</t>
  </si>
  <si>
    <t>27 000</t>
  </si>
  <si>
    <t>Empanado vegetal evita ~2,5 kg CO₂e e quase 1 k L de água por porção.</t>
  </si>
  <si>
    <t>Plov (carne)</t>
  </si>
  <si>
    <t>Plov Vegano (grão-de-bico e açafrão)</t>
  </si>
  <si>
    <t>14 000</t>
  </si>
  <si>
    <t>Plov vegetal entrega proteína e grande queda de emissões e água.</t>
  </si>
  <si>
    <t>Salada de Concha (caracol)</t>
  </si>
  <si>
    <t>Salada de Grão-de-bico e Coco Vegana</t>
  </si>
  <si>
    <t>1,0</t>
  </si>
  <si>
    <t>90 000</t>
  </si>
  <si>
    <t>Substituir caracol por grão-de-bico e coco reduz emissões e água mantendo frescor cítrico-ilhéu.</t>
  </si>
  <si>
    <t>Machboos de Frango</t>
  </si>
  <si>
    <t>Machboos Vegano (grão-de-bico e especiarias)</t>
  </si>
  <si>
    <t>110 000</t>
  </si>
  <si>
    <t>Grão-de-bico no lugar do frango corta ~1,6 kg CO₂e/porção e ~700 L de água.</t>
  </si>
  <si>
    <t>Kacchi Biryani (cordeiro)</t>
  </si>
  <si>
    <t>Biryani Vegano (lentilhas e batata)</t>
  </si>
  <si>
    <t>2,4</t>
  </si>
  <si>
    <t>120 000</t>
  </si>
  <si>
    <t>A troca do cordeiro por leguminosas mantém tradição e reduz fortemente a pegada.</t>
  </si>
  <si>
    <t>Cou-cou com Peixe-voador</t>
  </si>
  <si>
    <t>Cou-cou Vegano (tofu e nori)</t>
  </si>
  <si>
    <t>95 000</t>
  </si>
  <si>
    <t>Versão sem peixe diminui impacto hídrico e aumenta fibras, com sabor marinho via nori.</t>
  </si>
  <si>
    <t>Draniki com creme azedo</t>
  </si>
  <si>
    <t>Draniki Vegano (creme de caju)</t>
  </si>
  <si>
    <t>85 000</t>
  </si>
  <si>
    <t>Tirar laticínios reduz CO₂e e água preservando a identidade do prato.</t>
  </si>
  <si>
    <t>Poore &amp; Nemecek 2018; Springmann 2021</t>
  </si>
  <si>
    <t>Stoofvlees (ensopado bovino)</t>
  </si>
  <si>
    <t>Stoofvlees Vegano (seitan e cerveja)</t>
  </si>
  <si>
    <t>2,7</t>
  </si>
  <si>
    <t>1 050</t>
  </si>
  <si>
    <t>130 000</t>
  </si>
  <si>
    <t>Seitan no lugar de bovinos evita ~2,7 kg CO₂e e &gt;1 kL de água por porção.</t>
  </si>
  <si>
    <t>Rice &amp; Beans com carne salgada</t>
  </si>
  <si>
    <t>Rice &amp; Beans Vegano (coco)</t>
  </si>
  <si>
    <t>100 000</t>
  </si>
  <si>
    <t>Remover carne processada melhora perfis ambiental e nutricional sem perder autenticidade.</t>
  </si>
  <si>
    <t>Amiwo com carne</t>
  </si>
  <si>
    <t>Amiwo Vegano (feijão-preto e tomate)</t>
  </si>
  <si>
    <t>105 000</t>
  </si>
  <si>
    <t>Feijões substituem carne com grande queda de CO₂e e água.</t>
  </si>
  <si>
    <t>Salteña (carne)</t>
  </si>
  <si>
    <t>Salteña Vegana (lentilhas)</t>
  </si>
  <si>
    <t>98 000</t>
  </si>
  <si>
    <t>Recheio vegetal mantém tradição e reduz impactos por porção.</t>
  </si>
  <si>
    <t>Begova Čorba (frango)</t>
  </si>
  <si>
    <t>Begova Čorba Vegana (grão-de-bico)</t>
  </si>
  <si>
    <t>Trocar frango por leguminosas reduz ~1,4 kg CO₂e/porção.</t>
  </si>
  <si>
    <t>Bogobe com carne</t>
  </si>
  <si>
    <t>Bogobe Vegano (morogo e feijão)</t>
  </si>
  <si>
    <t>92 000</t>
  </si>
  <si>
    <t>Papa de milho com feijões e folhas locais diminui impacto total.</t>
  </si>
  <si>
    <t>Feijoada (bovina/suína)</t>
  </si>
  <si>
    <t>Feijoada Vegana (feijão-preto e tofu defumado)</t>
  </si>
  <si>
    <t>1 000</t>
  </si>
  <si>
    <t>140 000</t>
  </si>
  <si>
    <t>Feijoada vegetal corta &gt;2,5 kg CO₂e e ~1 kL de água por porção, valorizando ingredientes nativos.</t>
  </si>
  <si>
    <t>Ambuyat com peixe</t>
  </si>
  <si>
    <t>Ambuyat Vegano (molho de amendoim)</t>
  </si>
  <si>
    <t>Mantém ritual do ambuyat com menor pegada hídrica e de carbono.</t>
  </si>
  <si>
    <t>Banitsa (ovos e queijo)</t>
  </si>
  <si>
    <t>Banitsa Vegana (tofu e espinafre)</t>
  </si>
  <si>
    <t>88 000</t>
  </si>
  <si>
    <t>Remoção de laticínios reduz impactos mantendo textura folhada tradicional.</t>
  </si>
  <si>
    <t>Burkina Faso</t>
  </si>
  <si>
    <t>Riz Gras com carne</t>
  </si>
  <si>
    <t>Riz Gras Vegano (feijão-preto e legumes)</t>
  </si>
  <si>
    <t>102 000</t>
  </si>
  <si>
    <t>Leguminosas reduzem CO₂e e água sem perder o caráter do prato nacional.</t>
  </si>
  <si>
    <t>Isombe com peixe</t>
  </si>
  <si>
    <t>Isombe Vegano (folhas de mandioca e amendoim)</t>
  </si>
  <si>
    <t>Versão 100% vegetal mantém identidade e diminui significativamente o uso de recursos.</t>
  </si>
  <si>
    <t>Cachupa (com carne e linguiça)</t>
  </si>
  <si>
    <t>Cachupa Vegana (feijão e milho)</t>
  </si>
  <si>
    <t>Cachupa vegetal mantém identidade crioula e reduz emissões e água em mais de 70%.</t>
  </si>
  <si>
    <t>Amok (peixe e leite de coco)</t>
  </si>
  <si>
    <t>Amok Vegano (tofu e cogumelos)</t>
  </si>
  <si>
    <t>Amok vegetal com tofu mantém aroma do curry e corta emissões e água pela metade.</t>
  </si>
  <si>
    <t>Ndolé (carne e amendoim)</t>
  </si>
  <si>
    <t>Ndolé Vegano (amendoim e espinafre)</t>
  </si>
  <si>
    <t>97 000</t>
  </si>
  <si>
    <t>Combinando folhas e amendoim, reduz impacto e mantém valor proteico e sabor local.</t>
  </si>
  <si>
    <t>Poutine (carne e queijo)</t>
  </si>
  <si>
    <t>Poutine Vegano (molho de cogumelos e queijo vegetal)</t>
  </si>
  <si>
    <t>Poutine vegetal corta 80% das emissões e mantém conforto típico canadense.</t>
  </si>
  <si>
    <t>Machboos de carne</t>
  </si>
  <si>
    <t>2,1</t>
  </si>
  <si>
    <t>115 000</t>
  </si>
  <si>
    <t>Grão-de-bico substitui carne com redução de 2,1 kg CO₂e/porção e grande economia hídrica.</t>
  </si>
  <si>
    <t>Beshbarmak (carne de cavalo/bovina)</t>
  </si>
  <si>
    <t>Beshbarmak Vegano (tofu e legumes)</t>
  </si>
  <si>
    <t>Versão vegetal mantém simbolismo nômade e corta mais de 2,5 kg CO₂e por porção.</t>
  </si>
  <si>
    <t>Boullie com carne</t>
  </si>
  <si>
    <t>Boullie Vegano (painço e feijão)</t>
  </si>
  <si>
    <t>Substituição simples e de baixo custo com impacto ambiental 70% menor.</t>
  </si>
  <si>
    <t>Empanada de carne</t>
  </si>
  <si>
    <t>Empanada Vegana (lentilhas e milho)</t>
  </si>
  <si>
    <t>Versão de lentilhas mantém tradição chilena e reduz drasticamente impacto por porção.</t>
  </si>
  <si>
    <t>Jiaozi (carne de porco)</t>
  </si>
  <si>
    <t>Jiaozi Vegano (recheio de tofu e repolho)</t>
  </si>
  <si>
    <t>125 000</t>
  </si>
  <si>
    <t>Mantém cultura milenar dos bolinhos com menor impacto ambiental e alto teor proteico.</t>
  </si>
  <si>
    <t>Kleftiko (cordeiro assado)</t>
  </si>
  <si>
    <t>Kleftiko Vegano (batata e lentilhas ao forno)</t>
  </si>
  <si>
    <t>Versão vegetal corta ~2,5 kg CO₂e/porção e preserva o sabor mediterrâneo.</t>
  </si>
  <si>
    <t>Laksa (com camarão e peixe)</t>
  </si>
  <si>
    <t>Laksa Vegana (tofu, nori e leite de coco)</t>
  </si>
  <si>
    <t>Substituir frutos do mar por tofu e nori corta emissões e água mantendo sabor autêntico do Sudeste Asiático.</t>
  </si>
  <si>
    <t>Bandeja Paisa (carne, chouriço e ovo)</t>
  </si>
  <si>
    <t>Bandeja Paisa Vegana (feijão, banana e tofu)</t>
  </si>
  <si>
    <t>2,9</t>
  </si>
  <si>
    <t>150 000</t>
  </si>
  <si>
    <t>Versão vegetal reduz 3 kg CO₂e e 1 kL de água por porção, celebrando ingredientes locais.</t>
  </si>
  <si>
    <t>Langouste à la Vanille</t>
  </si>
  <si>
    <t>Langouste Vegana (jaca e leite de coco)</t>
  </si>
  <si>
    <t>Versão com jaca verde substitui lagosta com 70% menos impacto e sabor tropical preservado.</t>
  </si>
  <si>
    <t>Poulet Moambé</t>
  </si>
  <si>
    <t>Poulet Moambé Vegano (grão-de-bico e dendê)</t>
  </si>
  <si>
    <t>Grão-de-bico mantém consistência cremosa e corta emissões pela metade.</t>
  </si>
  <si>
    <t>Congo (Kinshasa)</t>
  </si>
  <si>
    <t>Saka-Saka (folhas e peixe)</t>
  </si>
  <si>
    <t>Saka-Saka Vegano (folhas e amendoim)</t>
  </si>
  <si>
    <t>Versão sem peixe reduz CO₂e e água, preservando o sabor africano tradicional.</t>
  </si>
  <si>
    <t>Naengmyeon (sopa fria com carne)</t>
  </si>
  <si>
    <t>Naengmyeon Vegano (tofu defumado e brotos)</t>
  </si>
  <si>
    <t>Sopa fria de verão ganha versão ética e sustentável com tofu defumado.</t>
  </si>
  <si>
    <t>Bibimbap (ovo e carne)</t>
  </si>
  <si>
    <t>Bibimbap Vegano (tofu e legumes)</t>
  </si>
  <si>
    <t>Cores, sabor e sustentabilidade no mesmo prato — 80% menos CO₂e e impacto hídrico.</t>
  </si>
  <si>
    <t>Garba (atum e mandioca)</t>
  </si>
  <si>
    <t>Garba Vegano (jaca e banana-da-terra)</t>
  </si>
  <si>
    <t>Substituir peixe por jaca reduz impacto e mantém o caráter de comida de rua nacional.</t>
  </si>
  <si>
    <t>Casado (carne e ovos)</t>
  </si>
  <si>
    <t>Casado Vegano (feijão, banana e abacate)</t>
  </si>
  <si>
    <t>108 000</t>
  </si>
  <si>
    <t>Casado vegano é nutricionalmente completo e 75% mais leve para o planeta.</t>
  </si>
  <si>
    <t>Pasticada (carne bovina)</t>
  </si>
  <si>
    <t>Pasticada Vegana (seitan e vinho tinto)</t>
  </si>
  <si>
    <t>Versão com seitan mantém complexidade de sabor e reduz 80% das emissões.</t>
  </si>
  <si>
    <t>Ropa Vieja (carne desfiada)</t>
  </si>
  <si>
    <t>Ropa Vieja Vegana (jaca e feijão)</t>
  </si>
  <si>
    <t>Jaca substitui carne com textura idêntica e 80% menos CO₂e.</t>
  </si>
  <si>
    <t>Smørrebrød com arenque/charque</t>
  </si>
  <si>
    <t>Smørrebrød Vegano (tofu defumado e vegetais)</t>
  </si>
  <si>
    <t>Sanduíche aberto mantém identidade nórdica com ~1,5 kg CO₂e e ~520 L poupados por porção.</t>
  </si>
  <si>
    <t>Skoudehkaris (carne e arroz)</t>
  </si>
  <si>
    <t>Skoudehkaris Vegano (lentilhas e especiarias)</t>
  </si>
  <si>
    <t>Leguminosas substituem carne em prato único, cortando emissões e água em &gt;70%.</t>
  </si>
  <si>
    <t>Callaloo com peixe defumado</t>
  </si>
  <si>
    <t>Callaloo Vegano (folhas e coco)</t>
  </si>
  <si>
    <t>Versão sem peixe preserva sabor caribenho e reduz impacto hídrico e de carbono.</t>
  </si>
  <si>
    <t>Koshari com manteiga/ghee</t>
  </si>
  <si>
    <t>Koshari Vegano (arroz, lentilhas e grão-de-bico)</t>
  </si>
  <si>
    <t>Prato de rua clássico fica 70% mais leve em CO₂e e ganha fibras.</t>
  </si>
  <si>
    <t>Pupusas com queijo e chicharrón</t>
  </si>
  <si>
    <t>Pupusas Veganas (feijão e queijo de caju)</t>
  </si>
  <si>
    <t>Tirar laticínios e porco poupa ~1,7 kg CO₂e/porção mantendo tradição.</t>
  </si>
  <si>
    <t>Harees com frango/carne</t>
  </si>
  <si>
    <t>Harees Vegano (trigo e lentilhas)</t>
  </si>
  <si>
    <t>Substituição simples entrega grande redução de emissões e água no prato do Golfo.</t>
  </si>
  <si>
    <t>Seco de carne</t>
  </si>
  <si>
    <t>Seco Vegano (seitan e arroz)</t>
  </si>
  <si>
    <t>Seitan reduz ~2,3 kg CO₂e e ~0,9 kL de água por refeição.</t>
  </si>
  <si>
    <t>Zigni (carne ao berbere)</t>
  </si>
  <si>
    <t>Zigni Vegano (lentilhas ao berbere)</t>
  </si>
  <si>
    <t>Ensopado picante com lentilhas corta emissões e água sem perder identidade.</t>
  </si>
  <si>
    <t>Kapustnica com linguiça/porco</t>
  </si>
  <si>
    <t>Kapustnica Vegana (chucrute e grãos)</t>
  </si>
  <si>
    <t>Tirar carnes processadas diminui impacto e mantém tradição de inverno.</t>
  </si>
  <si>
    <t>Jota com carne defumada</t>
  </si>
  <si>
    <t>Jota Vegana (feijão e chucrute)</t>
  </si>
  <si>
    <t>Ensopado alpino fica mais leve para o planeta e mais rico em fibras.</t>
  </si>
  <si>
    <t>Paella de frutos do mar</t>
  </si>
  <si>
    <t>Paella Vegana (grão-de-bico e legumes)</t>
  </si>
  <si>
    <t>Grão-de-bico substitui frutos do mar com &gt;75% de redução de CO₂e.</t>
  </si>
  <si>
    <t>Hambúrguer bovino</t>
  </si>
  <si>
    <t>Hambúrguer Vegano (lentilha/tofu)</t>
  </si>
  <si>
    <t>1 200</t>
  </si>
  <si>
    <t>160 000</t>
  </si>
  <si>
    <t>Cada sanduíche vegetal evita ~3 kg CO₂e e ~1,2 kL de água.</t>
  </si>
  <si>
    <t>Poore &amp; Nemecek 2018; WAP 2023</t>
  </si>
  <si>
    <t>Rosolje com arenque/ovos</t>
  </si>
  <si>
    <t>Rosolje Vegano (beterraba e grão-de-bico)</t>
  </si>
  <si>
    <t>Versão sem peixe e ovos reduz impacto mantendo perfil tradicional.</t>
  </si>
  <si>
    <t>Misir Wat com niter kibbeh (manteiga)</t>
  </si>
  <si>
    <t>Misir Wat Vegano (lentilhas, berbere e óleo vegetal)</t>
  </si>
  <si>
    <t>Lentilhas picantes com óleo vegetal poupam CO₂e/água e elevam fibras e ferro.</t>
  </si>
  <si>
    <t>Fiji</t>
  </si>
  <si>
    <t>Kokoda (peixe cru em leite de coco)</t>
  </si>
  <si>
    <t>Kokoda Vegano (tofu e leite de coco)</t>
  </si>
  <si>
    <t>Versão com tofu reduz CO₂e e água e mantém frescor cítrico da culinária fijiana.</t>
  </si>
  <si>
    <t>Adobo (frango ou porco)</t>
  </si>
  <si>
    <t>Adobo Vegano (tofu e cogumelos)</t>
  </si>
  <si>
    <t>Mantém o sabor agridoce com 78% menos emissões e 900 L de água poupados por porção.</t>
  </si>
  <si>
    <t>Finlândia</t>
  </si>
  <si>
    <t>Karjalanpiirakka (ovo e manteiga)</t>
  </si>
  <si>
    <t>Karjalanpiirakka Vegano (aveia e manteiga vegetal)</t>
  </si>
  <si>
    <t>Tirar laticínios reduz impacto e mantém tradição de careélia.</t>
  </si>
  <si>
    <t>França</t>
  </si>
  <si>
    <t>Coq au Vin (frango e vinho)</t>
  </si>
  <si>
    <t>Coq au Vin Vegano (seitan e vinho tinto)</t>
  </si>
  <si>
    <t>Versão vegetal mantém sofisticação francesa e reduz &gt;80% das emissões e uso de água.</t>
  </si>
  <si>
    <t>Gabão</t>
  </si>
  <si>
    <t>Nyembwe (frango ao dendê)</t>
  </si>
  <si>
    <t>Nyembwe Vegano (grão-de-bico e dendê)</t>
  </si>
  <si>
    <t>Grão-de-bico substitui frango com corte de emissões e uso de recursos em mais de 70%.</t>
  </si>
  <si>
    <t>Gâmbia</t>
  </si>
  <si>
    <t>Domoda (carne e amendoim)</t>
  </si>
  <si>
    <t>Domoda Vegano (amendoim e feijão)</t>
  </si>
  <si>
    <t>Amendoim e feijão substituem carne com ~2 kg CO₂e poupados por porção.</t>
  </si>
  <si>
    <t>Gana</t>
  </si>
  <si>
    <t>Red Red (peixe seco)</t>
  </si>
  <si>
    <t>Red Red Vegano (feijão e banana)</t>
  </si>
  <si>
    <t>Versão sem peixe reduz 70% de impacto e preserva sabor afro-ocidental.</t>
  </si>
  <si>
    <t>Geórgia</t>
  </si>
  <si>
    <t>Khachapuri (queijo e ovo)</t>
  </si>
  <si>
    <t>Khachapuri Vegano (tofu e espinafre)</t>
  </si>
  <si>
    <t>Tofu substitui queijo mantendo cremosidade e cortando CO₂e e água.</t>
  </si>
  <si>
    <t>Gibraltar</t>
  </si>
  <si>
    <t>Fish and Chips</t>
  </si>
  <si>
    <t>Fishless and Chips Vegano (tofu e alga nori)</t>
  </si>
  <si>
    <t>Substituir peixe por tofu e nori reduz ~1,5 kg CO₂e/porção e 550 L de água.</t>
  </si>
  <si>
    <t>Grécia</t>
  </si>
  <si>
    <t>Moussaka (carne e queijo)</t>
  </si>
  <si>
    <t>Moussaka Vegana (lentilhas e bechamel de caju)</t>
  </si>
  <si>
    <t>Moussaka vegetal mantém sabor mediterrâneo e reduz &gt;75% das emissões e água.</t>
  </si>
  <si>
    <t>Oil Down (carne salgada e coco)</t>
  </si>
  <si>
    <t>Oil Down Vegano (banana, batata e coco)</t>
  </si>
  <si>
    <t>Versão vegetal mantém sabor caribenho e reduz impacto hídrico.</t>
  </si>
  <si>
    <t>Peppian (carne bovina)</t>
  </si>
  <si>
    <t>Peppian Vegano (lentilhas e milho)</t>
  </si>
  <si>
    <t>Prato ancestral maia ganha versão sustentável com 80% de emissões a menos.</t>
  </si>
  <si>
    <t>Poulet Yassa</t>
  </si>
  <si>
    <t>Poulet Yassa Vegano (tofu e limão)</t>
  </si>
  <si>
    <t>Tofu e limão substituem carne com sabor e leveza ecológica.</t>
  </si>
  <si>
    <t>Caldo de Mancarra (carne e amendoim)</t>
  </si>
  <si>
    <t>Caldo de Mancarra Vegano (grão-de-bico e amendoim)</t>
  </si>
  <si>
    <t>Leguminosas cortam emissões e água em 70% mantendo cremosidade e sabor.</t>
  </si>
  <si>
    <t>Sopa de peixe</t>
  </si>
  <si>
    <t>Sopa Vegana (legumes e algas)</t>
  </si>
  <si>
    <t>Versão vegetal oferece sabor marinho e menor pegada ambiental.</t>
  </si>
  <si>
    <t>Metemgee (peixe e coco)</t>
  </si>
  <si>
    <t>Metemgee Vegano (grão-de-bico e coco)</t>
  </si>
  <si>
    <t>Prato guianense fica mais sustentável com 72% menos CO₂e e igual sabor.</t>
  </si>
  <si>
    <t>Ratatouille (com queijo ou carne)</t>
  </si>
  <si>
    <t>Ratatouille Vegana (100% vegetal)</t>
  </si>
  <si>
    <t>Versão integralmente vegetal do clássico francês reduz emissões e valoriza vegetais locais.</t>
  </si>
  <si>
    <t>Griot (carne suína frita)</t>
  </si>
  <si>
    <t>Griot Vegano (jaca verde e cítricos)</t>
  </si>
  <si>
    <t>Jaca temperada reproduz textura e sabor com ~2,2 kg CO₂e e ~900 L de água poupados por porção.</t>
  </si>
  <si>
    <t>Holanda (Países Baixos)</t>
  </si>
  <si>
    <t>Stamppot com embutidos</t>
  </si>
  <si>
    <t>Stamppot Vegano (couve e batata com tofu)</t>
  </si>
  <si>
    <t>Tofu no lugar de embutidos reduz emissões e água mantendo conforto do prato de inverno.</t>
  </si>
  <si>
    <t>Honduras</t>
  </si>
  <si>
    <t>Baleada com ovos/queijo</t>
  </si>
  <si>
    <t>Baleada Vegana (feijão, abacate e tofu)</t>
  </si>
  <si>
    <t>Versão sem ovos e laticínios corta impacto hídrico e aumenta fibras e ferro.</t>
  </si>
  <si>
    <t>Gulyás (carne bovina)</t>
  </si>
  <si>
    <t>Gulyás Vegano (batata, páprica e feijões)</t>
  </si>
  <si>
    <t>Ensopado húngaro com leguminosas preserva sabor e reduz &gt;80% de CO₂e e ~1 kL de água por porção.</t>
  </si>
  <si>
    <t>Plokkfiskur (peixe e batata)</t>
  </si>
  <si>
    <t>Plokkfiskur Vegano (tofu e algas)</t>
  </si>
  <si>
    <t>Versão vegetal mantém tradição nórdica e reduz impacto ambiental em 70%.</t>
  </si>
  <si>
    <t>Butter Chicken</t>
  </si>
  <si>
    <t>Curry de Grão-de-Bico Vegano</t>
  </si>
  <si>
    <t>Curry vegetal substitui frango e creme com 75% menos emissões e maior teor de fibra e ferro.</t>
  </si>
  <si>
    <t>Poore &amp; Nemecek 2018; IVU 2024; FAO 2022</t>
  </si>
  <si>
    <t>Rendang (carne de boi e coco)</t>
  </si>
  <si>
    <t>Rendang Vegano (jaca e coco)</t>
  </si>
  <si>
    <t>Jaca substitui carne mantendo textura e sabor intenso com 80% menos impacto.</t>
  </si>
  <si>
    <t>Ghormeh Sabzi (carne e ervas)</t>
  </si>
  <si>
    <t>Ghormeh Sabzi Vegano (tofu e feijão)</t>
  </si>
  <si>
    <t>Feijão e tofu reduzem CO₂e em 2,1 kg/porção e preservam sabor persa clássico.</t>
  </si>
  <si>
    <t>Kubba (carne e trigo)</t>
  </si>
  <si>
    <t>Kubba Vegano (trigo e lentilhas)</t>
  </si>
  <si>
    <t>Versão com lentilhas corta emissões e água sem perder textura tradicional.</t>
  </si>
  <si>
    <t>Irish Stew (cordeiro e batata)</t>
  </si>
  <si>
    <t>Irish Stew Vegano (seitan e cevada)</t>
  </si>
  <si>
    <t>Ensopado vegetal mantém o sabor rústico com impacto ambiental reduzido em 80%.</t>
  </si>
  <si>
    <t>Shakshuka (ovos e tomate)</t>
  </si>
  <si>
    <t>Shakshuka Vegana (tofu e grão-de-bico)</t>
  </si>
  <si>
    <t>Prato mediterrâneo sem ovos corta emissões e aumenta proteínas e fibras.</t>
  </si>
  <si>
    <t>Lasagna (carne e queijo)</t>
  </si>
  <si>
    <t>Lasagna Vegana (lentilhas e bechamel vegetal)</t>
  </si>
  <si>
    <t>Lasanha vegetal reduz emissões em 83% e mantém o sabor reconfortante da culinária italiana.</t>
  </si>
  <si>
    <t>Jamaica</t>
  </si>
  <si>
    <t>Ackee &amp; Saltfish (peixe salgado)</t>
  </si>
  <si>
    <t>Ackee Vegano com Grão-de-bico (nori e pimenta scotch bonnet)</t>
  </si>
  <si>
    <t>Substituir o peixe salgado por grão-de-bico mantém o sabor caribenho (nori dá toque do mar) e reduz ~1,8 kg CO₂e e ~620 L de água por porção.</t>
  </si>
  <si>
    <t>Mansaf (cordeiro e iogurte jameed)</t>
  </si>
  <si>
    <t>Mansaf Vegano (seitan e iogurte de caju)</t>
  </si>
  <si>
    <t>Versão vegana preserva o ritual beduíno e corta &gt;80% das emissões, poupando ~1 kL de água por porção ao trocar cordeiro e laticínios por alternativas vegetais.</t>
  </si>
  <si>
    <t>Poore &amp; Nemecek 2018; FAO 2022; Springmann 2021; IVU 2024</t>
  </si>
  <si>
    <t>Flija (manteiga e ovos)</t>
  </si>
  <si>
    <t>Flija Vegana (farinha integral e leite vegetal)</t>
  </si>
  <si>
    <t>Versão sem ovos e manteiga mantém a essência tradicional e corta cerca de 66% das emissões e água.</t>
  </si>
  <si>
    <t>Machboos (cordeiro e arroz)</t>
  </si>
  <si>
    <t>Versão vegana reduz mais de 2,5 kg CO₂e/porção e 900 L de água, preservando o aroma árabe clássico.</t>
  </si>
  <si>
    <t>Manty (carne bovina e cebola)</t>
  </si>
  <si>
    <t>Manty Vegano (lentilhas e abóbora)</t>
  </si>
  <si>
    <t>A troca do cordeiro por lentilhas reduz ~2 kg CO₂e e ~700 L de água/porção, preservando o prato símbolo da hospitalidade quirguiz.</t>
  </si>
  <si>
    <t>Larb (carne picada com ervas)</t>
  </si>
  <si>
    <t>Larb Vegano (soja texturizada e ervas)</t>
  </si>
  <si>
    <t>Substituição da carne por soja texturizada mantém frescor e reduz ~1,8 kg CO₂e e ~700 L de água por porção.</t>
  </si>
  <si>
    <t>Papa e Moroho com carne</t>
  </si>
  <si>
    <t>Moroho Vegano (folhas verdes e pap)</t>
  </si>
  <si>
    <t>Versão 100% vegetal preserva o cotidiano basotho com queda expressiva de emissões e água.</t>
  </si>
  <si>
    <t>Pelēkie zirņi ar speķi (ervilhas com bacon)</t>
  </si>
  <si>
    <t>Peléki Zirņi Vegano (ervilhas e tofu defumado)</t>
  </si>
  <si>
    <t>Tofu defumado substitui bacon mantendo tradição e reduzindo impactos em ~70%.</t>
  </si>
  <si>
    <t>Kibbeh (carne e trigo)</t>
  </si>
  <si>
    <t>Kibbeh Vegano (abóbora e grão-de-bico)</t>
  </si>
  <si>
    <t>Kibbeh vegetal preserva especiarias e textura, poupando ~2,1 kg CO₂e e ~800 L de água por porção.</t>
  </si>
  <si>
    <t>Palava Sauce (folhas e peixe/carne)</t>
  </si>
  <si>
    <t>Palava Sauce Vegano (folhas e amendoim)</t>
  </si>
  <si>
    <t>Amendoim e folhas verdes reduzem pegada ambiental sem perder cremosidade típica.</t>
  </si>
  <si>
    <t>Bazeen (cordeiro e molho)</t>
  </si>
  <si>
    <t>Bazeen Vegano (cevada e ensopado de legumes)</t>
  </si>
  <si>
    <t>Tirar cordeiro do bazeen corta emissões e água, mantendo ritual do prato líbio.</t>
  </si>
  <si>
    <t>Käsknöpfle (queijo e manteiga)</t>
  </si>
  <si>
    <t>Käsknöpfle Vegano (creme de caju)</t>
  </si>
  <si>
    <t>Remoção de laticínios reduz CO₂e e água preservando conforto alpino.</t>
  </si>
  <si>
    <t>Cepelinai (carne suína)</t>
  </si>
  <si>
    <t>Cepelinai Vegano (cogumelos)</t>
  </si>
  <si>
    <t>Bolinhos de batata com cogumelos mantêm identidade báltica e caem ~2,4 kg CO₂e/porção.</t>
  </si>
  <si>
    <t>Judd mat Gaardebounen (carne de porco)</t>
  </si>
  <si>
    <t>Judd Vegano (tofu defumado e feijões)</t>
  </si>
  <si>
    <t>Tofu defumado substitui o porco com 80% menos impacto e sabor autêntico preservado.</t>
  </si>
  <si>
    <t>Ravitoto (carne e folhas de mandioca)</t>
  </si>
  <si>
    <t>Ravitoto Vegano (folhas e amendoim)</t>
  </si>
  <si>
    <t>Versão sem carne reduz emissões e água mantendo a base vegetal malgaxe tradicional.</t>
  </si>
  <si>
    <t>Nasi Lemak (peixe, ovos)</t>
  </si>
  <si>
    <t>Nasi Lemak Vegano (tempeh e coco)</t>
  </si>
  <si>
    <t>Tempeh substitui proteína animal e reduz ~1,9 kg CO₂e/porção, mantendo equilíbrio de sabores.</t>
  </si>
  <si>
    <t>Nsima com frango</t>
  </si>
  <si>
    <t>Nsima Vegano (feijão e vegetais)</t>
  </si>
  <si>
    <t>Substituir frango por feijão corta emissões e mantém sustento nutricional.</t>
  </si>
  <si>
    <t>Tigadèguèna (carne e amendoim)</t>
  </si>
  <si>
    <t>Tigadèguèna Vegano (amendoim e feijão-fradinho)</t>
  </si>
  <si>
    <t>Versão sem carne mantém textura e sabor com ~70% menos CO₂e.</t>
  </si>
  <si>
    <t>Fenek (coelho)</t>
  </si>
  <si>
    <t>Fenek Vegano (seitan e ervas mediterrâneas)</t>
  </si>
  <si>
    <t>Seitan substitui carne mantendo perfil aromático e reduzindo impacto em 80%.</t>
  </si>
  <si>
    <t>Tagine de cordeiro</t>
  </si>
  <si>
    <t>Tagine Vegano (grão-de-bico e legumes)</t>
  </si>
  <si>
    <t>Corte de emissões e água em mais de 75%, com ingredientes locais tradicionais.</t>
  </si>
  <si>
    <t>Thieboudienne (peixe e arroz)</t>
  </si>
  <si>
    <t>Thieboudienne Vegano (tofu e algas)</t>
  </si>
  <si>
    <t>Versão com tofu e algas reduz pegada ecológica e preserva sabor do Atlântico.</t>
  </si>
  <si>
    <t>Curry de polvo</t>
  </si>
  <si>
    <t>Curry Vegano (jaca e coco)</t>
  </si>
  <si>
    <t>Jaca substitui frutos do mar mantendo sabor picante e cortando 70% das emissões.</t>
  </si>
  <si>
    <t>Tacos al Pastor (porco)</t>
  </si>
  <si>
    <t>Tacos Veganos (jaca e abacaxi)</t>
  </si>
  <si>
    <t>Tacos de jaca mantêm tradição e sabor, com redução de ~2,5 kg CO₂e e ~920 L de água por porção.</t>
  </si>
  <si>
    <t>Pescado em leite de coco</t>
  </si>
  <si>
    <t>Pescado Vegano (tofu e coco)</t>
  </si>
  <si>
    <t>Versão sem peixe mantém frescor tropical e reduz impacto ambiental.</t>
  </si>
  <si>
    <t>Matapa (peixe seco e amendoim)</t>
  </si>
  <si>
    <t>Matapa Vegana (folhas e amendoim)</t>
  </si>
  <si>
    <t>Amendoim e folhas garantem nutrição e reduzem 70% das emissões e do uso de água.</t>
  </si>
  <si>
    <t>Mămăligă com queijo/creme</t>
  </si>
  <si>
    <t>Mămăligă Vegana (cogumelos e creme de caju)</t>
  </si>
  <si>
    <t>Remover laticínios reduz CO₂e e água, mantendo o conforto do prato camponês moldavo.</t>
  </si>
  <si>
    <t>Poore &amp; Nemecek 2018; Springmann 2021; FAO 2022; IVU 2024</t>
  </si>
  <si>
    <t>Barbagiuan (frito com queijo e ovo)</t>
  </si>
  <si>
    <t>Barbagiuan Vegano (acelga e ervas)</t>
  </si>
  <si>
    <t>Barbagiuan sem laticínios preserva identidade e corta ~1,2 kg CO₂e/porção.</t>
  </si>
  <si>
    <t>Poore &amp; Nemecek 2018; Springmann 2021; FAO 2022</t>
  </si>
  <si>
    <t>Buuz (dumpling de carne)</t>
  </si>
  <si>
    <t>Buuz Vegano (lentilhas e cebola)</t>
  </si>
  <si>
    <t>Dumplings de lentilhas mantêm o ritual nômade com queda &gt;70% de emissões e água.</t>
  </si>
  <si>
    <t>Ćevapi (carne grelhada)</t>
  </si>
  <si>
    <t>Ćevapi Vegano (seitan e ervas)</t>
  </si>
  <si>
    <t>Seitan substitui carne com ~2,6 kg CO₂e e ~1 kL de água poupados por porção.</t>
  </si>
  <si>
    <t>Mohinga (sopa de peixe)</t>
  </si>
  <si>
    <t>Mohinga Vegano (grão-de-bico e arroz)</t>
  </si>
  <si>
    <t>Versão sem peixe reduz impacto e mantém caldo aromático clássico.</t>
  </si>
  <si>
    <t>Kapana (carne bovina grelhada)</t>
  </si>
  <si>
    <t>Kapana Vegano (feijão-fradinho e pap de milhete)</t>
  </si>
  <si>
    <t>Trocar bovinos por leguminosas corta drasticamente CO₂e, água e terra usados.</t>
  </si>
  <si>
    <t>Coconut Fish (peixe ao coco)</t>
  </si>
  <si>
    <t>Coconut Vegano (tofu e coco)</t>
  </si>
  <si>
    <t>Sabor oceânico via nori/tofu com 70% menos impacto que peixe.</t>
  </si>
  <si>
    <t>Dal Bhat (com ghee/queijo)</t>
  </si>
  <si>
    <t>Dal Bhat Vegano (lentilhas, arroz e óleo vegetal)</t>
  </si>
  <si>
    <t>Tirar ghee e focar em leguminosas reduz CO₂e/água e aumenta ferro e fibras.</t>
  </si>
  <si>
    <t>Gallo Pinto (com ovos/queijo)</t>
  </si>
  <si>
    <t>Gallo Pinto Vegano (feijão e banana)</t>
  </si>
  <si>
    <t>Eliminar ovos/laticínios torna o prato cotidiano ainda mais sustentável.</t>
  </si>
  <si>
    <t>Ensopado de amendoim com carne</t>
  </si>
  <si>
    <t>Djerma Stew Vegano (amendoim e legumes)</t>
  </si>
  <si>
    <t>Legumes e amendoim reduzem emissões e água mantendo a cremosidade típica.</t>
  </si>
  <si>
    <t>Jollof com frango</t>
  </si>
  <si>
    <t>Jollof Vegano (arroz e vegetais)</t>
  </si>
  <si>
    <t>Clássico oeste-africano com 2 kg CO₂e e ~720 L de água poupados por porção.</t>
  </si>
  <si>
    <t>Fårikål (cordeiro e repolho)</t>
  </si>
  <si>
    <t>Fårikål Vegano (seitan, repolho e batata)</t>
  </si>
  <si>
    <t>Versão vegetal mantém o aconchego nórdico com &gt;80% de emissões e água a menos.</t>
  </si>
  <si>
    <t>Majboos (cordeiro e arroz)</t>
  </si>
  <si>
    <t>Majboos Vegano (grão-de-bico e especiarias)</t>
  </si>
  <si>
    <t>Substituição de cordeiro por leguminosas reduz 77% das emissões e preserva o sabor árabe.</t>
  </si>
  <si>
    <t>Biryani de Frango</t>
  </si>
  <si>
    <t>Versão vegetal mantém riqueza de especiarias e reduz drasticamente o impacto ambiental.</t>
  </si>
  <si>
    <t>Peixe grelhado ao coco</t>
  </si>
  <si>
    <t>Tofu ao Coco Vegano (com nori e limão)</t>
  </si>
  <si>
    <t>Versão vegetal mantém notas marinhas e corta CO₂e e água em cerca de 70%.</t>
  </si>
  <si>
    <t>Sancocho de galinha</t>
  </si>
  <si>
    <t>Sancocho Vegano (inhame, milho e feijão)</t>
  </si>
  <si>
    <t>Prato de domingo ganha versão vegetal nutritiva e 72% mais leve ambientalmente.</t>
  </si>
  <si>
    <t>Mumu (carne e legumes assados)</t>
  </si>
  <si>
    <t>Mumu Vegano (taro, batata e coco)</t>
  </si>
  <si>
    <t>Versão vegetal mantém ritual comunitário e reduz cerca de 2 kg CO₂e por porção.</t>
  </si>
  <si>
    <t>Sopa Paraguaya (com ovos e queijo)</t>
  </si>
  <si>
    <t>Sopa Vegana (milho e tofu)</t>
  </si>
  <si>
    <t>Tirar laticínios e ovos reduz emissões e água mantendo sabor tradicional.</t>
  </si>
  <si>
    <t>Ceviche (peixe e frutos do mar)</t>
  </si>
  <si>
    <t>Ceviche Vegano (palmito e algas)</t>
  </si>
  <si>
    <t>Palmito e nori recriam o sabor do mar com 70% menos impacto ambiental.</t>
  </si>
  <si>
    <t>Bigos (carne e repolho)</t>
  </si>
  <si>
    <t>Bigos Vegano (seitan e chucrute)</t>
  </si>
  <si>
    <t>Versão vegetal mantém aroma defumado e reduz emissões em mais de 75%.</t>
  </si>
  <si>
    <t>Bacalhau à Brás (peixe e ovos)</t>
  </si>
  <si>
    <t>Bacalhau Vegano (palmito e grão-de-bico)</t>
  </si>
  <si>
    <t>Palmito e grão-de-bico recriam textura e sabor do bacalhau com 71% menos impacto.</t>
  </si>
  <si>
    <t>Porto Rico</t>
  </si>
  <si>
    <t>Mofongo (carne de porco e banana)</t>
  </si>
  <si>
    <t>Mofongo Vegano (grão-de-bico e banana)</t>
  </si>
  <si>
    <t>Versão vegana mantém essência caribenha e corta mais de 70% das emissões e água.</t>
  </si>
  <si>
    <t>Qatar</t>
  </si>
  <si>
    <t>Machboos (frango e carne)</t>
  </si>
  <si>
    <t>Machboos Vegano (lentilhas e especiarias)</t>
  </si>
  <si>
    <t>Receita aromática ganha leveza e sustentabilidade com 78% de redução de CO₂e.</t>
  </si>
  <si>
    <t>Sarmale (repolho e carne suína)</t>
  </si>
  <si>
    <t>Sarmale Vegano (arroz, lentilhas e cogumelos)</t>
  </si>
  <si>
    <t>Versão vegana preserva o sabor tradicional e reduz ~2,4 kg CO₂e e ~900 L de água por porção.</t>
  </si>
  <si>
    <t>Isombe (folhas e peixe seco)</t>
  </si>
  <si>
    <t>Isombe Vegano (folhas e amendoim)</t>
  </si>
  <si>
    <t>Folhas e amendoim substituem peixe com 70% menos impacto e nutrição aprimorada.</t>
  </si>
  <si>
    <t>Borscht (carne e creme azedo)</t>
  </si>
  <si>
    <t>Borscht Vegano (beterraba e creme de caju)</t>
  </si>
  <si>
    <t>Borscht vegetal mantém cor e sabor característicos com ~1,8 kg CO₂e a menos por porção.</t>
  </si>
  <si>
    <t>Ilhas Salomão</t>
  </si>
  <si>
    <t>Peixe ao coco</t>
  </si>
  <si>
    <t>Tofu ao coco (com nori)</t>
  </si>
  <si>
    <t>Sabor oceânico via nori, com ~70% menos emissões e água por porção.</t>
  </si>
  <si>
    <t>Samoa</t>
  </si>
  <si>
    <t>Palusami (peixe/carne com taro e coco)</t>
  </si>
  <si>
    <t>Palusami Vegano (folhas de taro e coco)</t>
  </si>
  <si>
    <t>Preserva o ritual polinésio e reduz impacto hídrico e de carbono.</t>
  </si>
  <si>
    <t>San Marino</t>
  </si>
  <si>
    <t>Piada com frios e queijos</t>
  </si>
  <si>
    <t>Piada Vegana (tofu defumado e verduras)</t>
  </si>
  <si>
    <t>Tirar laticínios e embutidos reduz CO₂e mantendo identidade italiana.</t>
  </si>
  <si>
    <t>Santa Lúcia</t>
  </si>
  <si>
    <t>Peixe grelhado com banana</t>
  </si>
  <si>
    <t>Tofu grelhado com banana-da-terra</t>
  </si>
  <si>
    <t>Versão sem peixe mantém equilíbrio caribenho com ~70% menos impacto.</t>
  </si>
  <si>
    <t>Goat Water (ensopado de cabra)</t>
  </si>
  <si>
    <t>Goat Water Vegano (feijões e legumes)</t>
  </si>
  <si>
    <t>Leguminosas substituem carne com grande queda de CO₂e e água.</t>
  </si>
  <si>
    <t>Calulu de peixe</t>
  </si>
  <si>
    <t>Calulu Vegano (folhas e grão-de-bico)</t>
  </si>
  <si>
    <t>Calulu 100% vegetal reduz impacto e preserva sabores locais.</t>
  </si>
  <si>
    <t>Fruta-pão com peixe</t>
  </si>
  <si>
    <t>Fruta-pão assada com feijão-preto</t>
  </si>
  <si>
    <t>Mantém tradição da fruta-pão com menor pegada ecológica.</t>
  </si>
  <si>
    <t>Poulet Yassa (frango)</t>
  </si>
  <si>
    <t>Yassa Vegano (tofu e limão)</t>
  </si>
  <si>
    <t>Sabor cítrico preservado com ~2 kg CO₂e poupados por porção.</t>
  </si>
  <si>
    <t>Serra Leoa</t>
  </si>
  <si>
    <t>Groundnut Stew (carne e amendoim)</t>
  </si>
  <si>
    <t>Groundnut Stew Vegano (amendoim e feijão)</t>
  </si>
  <si>
    <t>Cremoso e nutritivo, com 70% menos emissões e água.</t>
  </si>
  <si>
    <t>Seitan preserva o ritual dos grelhados com &gt;80% menos CO₂e.</t>
  </si>
  <si>
    <t>Peixe ao curry e coco</t>
  </si>
  <si>
    <t>Curry Vegano de abóbora e coco</t>
  </si>
  <si>
    <t>Versão insular aromática com queda robusta de emissões e água.</t>
  </si>
  <si>
    <t>Laksa (camarão/peixe)</t>
  </si>
  <si>
    <t>Laksa Vegana (tofu, nori e coco)</t>
  </si>
  <si>
    <t>Sopa icônica com perfil marinho e ~1,8 kg CO₂e poupados por porção.</t>
  </si>
  <si>
    <t>Textura e especiarias preservadas com forte redução ambiental.</t>
  </si>
  <si>
    <t>Somália</t>
  </si>
  <si>
    <t>Bariis iskukaris (arroz com carne)</t>
  </si>
  <si>
    <t>Bariis Vegano (grão-de-bico e especiarias)</t>
  </si>
  <si>
    <t>Arroz especiado com leguminosas corta emissões e uso de água.</t>
  </si>
  <si>
    <t>Sri Lanka</t>
  </si>
  <si>
    <t>Fish Ambul Thiyal</t>
  </si>
  <si>
    <t>Curry Vegano (tofu e tamarindo)</t>
  </si>
  <si>
    <t>Notas ácidas e picantes preservadas, com ~70% menos impacto.</t>
  </si>
  <si>
    <t>Eswatini (Suazilândia)</t>
  </si>
  <si>
    <t>Umncweba (carne seca)</t>
  </si>
  <si>
    <t>Umncweba Vegano (feijões e milho)</t>
  </si>
  <si>
    <t>Versão acessível e sustentável com ingredientes locais.</t>
  </si>
  <si>
    <t>Sudão</t>
  </si>
  <si>
    <t>Ful medames com laticínios</t>
  </si>
  <si>
    <t>Ful Vegano (fava e tahine)</t>
  </si>
  <si>
    <t>Retira laticínios e mantém tradição de rua, com menor pegada.</t>
  </si>
  <si>
    <t>Sudão do Sul</t>
  </si>
  <si>
    <t>Asida com carne</t>
  </si>
  <si>
    <t>Asida Vegana (milho e molho de feijão)</t>
  </si>
  <si>
    <t>Papa tradicional ganha versão proteica vegetal com 70% menos emissões.</t>
  </si>
  <si>
    <t>Köttbullar (almôndegas de carne)</t>
  </si>
  <si>
    <t>Köttbullar Veganas (grão-de-bico e aveia)</t>
  </si>
  <si>
    <t>Almôndegas vegetais mantêm conforto nórdico com forte queda ambiental.</t>
  </si>
  <si>
    <t>Fondue (queijo)</t>
  </si>
  <si>
    <t>Fondue Vegana (creme de caju e vinho)</t>
  </si>
  <si>
    <t>Substituir laticínios reduz CO₂e e água mantendo a experiência alpina.</t>
  </si>
  <si>
    <t>Pom (frango)</t>
  </si>
  <si>
    <t>Pom Vegano (jaca e batata)</t>
  </si>
  <si>
    <t>Jaca reproduz textura da carne com &gt;75% de redução de emissões e água.</t>
  </si>
  <si>
    <t>Pad Thai (ovo/camarão)</t>
  </si>
  <si>
    <t>Pad Thai Vegano (tofu e tamarindo)</t>
  </si>
  <si>
    <t>Sabor agridoce preservado com ~1,8 kg CO₂e e ~650 L de água poupados por porção.</t>
  </si>
  <si>
    <t>Tajiquistão</t>
  </si>
  <si>
    <t>Qurutob (laticínios)</t>
  </si>
  <si>
    <t>Qurutob Vegano (iogurte de caju e pão)</t>
  </si>
  <si>
    <t>Retirar laticínios reduz impacto mantendo o ritual compartilhado do prato.</t>
  </si>
  <si>
    <t>Pilau com carne</t>
  </si>
  <si>
    <t>Pilau Vegano (grão-de-bico e especiarias)</t>
  </si>
  <si>
    <t>Arroz aromático com leguminosas corta emissões e água em ~70–80%.</t>
  </si>
  <si>
    <t>Tchéquia</t>
  </si>
  <si>
    <t>Svíčková (carne e creme)</t>
  </si>
  <si>
    <t>Svíčková Vegana (seitan e creme de caju)</t>
  </si>
  <si>
    <t>Versão vegetal mantém molho clássico e reduz &gt;80% das emissões.</t>
  </si>
  <si>
    <t>Timor-Leste</t>
  </si>
  <si>
    <t>Ikan Pepes (peixe)</t>
  </si>
  <si>
    <t>Pepes Vegano (tofu e banana-da-terra)</t>
  </si>
  <si>
    <t>Tofu no papillote de folhas preserva método tradicional com 70% menos impacto.</t>
  </si>
  <si>
    <t>Ablo com peixe</t>
  </si>
  <si>
    <t>Ablo Vegano com feijão guisado</t>
  </si>
  <si>
    <t>Pão de milho com leguminosas mantém identidade e reduz pegada ecológica.</t>
  </si>
  <si>
    <t>Tonga</t>
  </si>
  <si>
    <t>‘Ota ika (peixe cru no coco)</t>
  </si>
  <si>
    <t>‘Ota Vegano (tofu marinado e coco)</t>
  </si>
  <si>
    <t>96 000</t>
  </si>
  <si>
    <t>Marinar tofu em limão e coco recria o perfil oceânico com menor impacto.</t>
  </si>
  <si>
    <t>Trinidad e Tobago</t>
  </si>
  <si>
    <t>Doubles (com chutney e às vezes peixe)</t>
  </si>
  <si>
    <t>Doubles 100% Vegano (grão-de-bico)</t>
  </si>
  <si>
    <t>Street food icônica já é majoritariamente vegetal — ajuste torna-a ainda mais sustentável.</t>
  </si>
  <si>
    <t>Couscous Vegano (grão-de-bico e harissa)</t>
  </si>
  <si>
    <t>Clássico magrebino com leguminosas reduz ~2,3 kg CO₂e/porção.</t>
  </si>
  <si>
    <t>Turcomenistão</t>
  </si>
  <si>
    <t>Pilaf (carne e arroz)</t>
  </si>
  <si>
    <t>Pilaf Vegano (lentilhas e cenoura)</t>
  </si>
  <si>
    <t>Substituição simples mantém tradição de mesa e corta impacto em ~75%.</t>
  </si>
  <si>
    <t>İmam Bayıldı (por vezes com carne)</t>
  </si>
  <si>
    <t>İmam Bayıldı Vegano (berinjela, tomate e azeite)</t>
  </si>
  <si>
    <t>Clássico otomano 100% vegetal com grande economia hídrica e de CO₂e.</t>
  </si>
  <si>
    <t>Tuvalu</t>
  </si>
  <si>
    <t>Perfil marítimo preservado via nori e ~70% menos impacto ambiental.</t>
  </si>
  <si>
    <t>Varenyky recheado com carne/queijo</t>
  </si>
  <si>
    <t>Varenyky Vegano (batata, cebola e cogumelos)</t>
  </si>
  <si>
    <t>Mantém o conforto eslavo com ~1,8 kg CO₂e e ~700 L de água poupados por porção ao retirar carne e laticínios.</t>
  </si>
  <si>
    <t>Uganda</t>
  </si>
  <si>
    <t>Luwombo de frango (cozido na folha de bananeira)</t>
  </si>
  <si>
    <t>Luwombo Vegano (amendoim, feijão e cogumelos)</t>
  </si>
  <si>
    <t>Prato emblemático buganda preserva técnica tradicional e reduz fortemente emissões, água e terra.</t>
  </si>
  <si>
    <t>Asado (grelhados bovinos)</t>
  </si>
  <si>
    <t>Asado Vegano (legumes, jaca e feijões)</t>
  </si>
  <si>
    <t>3,1</t>
  </si>
  <si>
    <t>Grelhados vegetais entregam a experiência parrillera com &gt;3 kg CO₂e e ~1,2 kL de água poupados/porção.</t>
  </si>
  <si>
    <t>Uzbequistão</t>
  </si>
  <si>
    <t>Plov/Osh (cordeiro e arroz)</t>
  </si>
  <si>
    <t>Plov Vegano (grão-de-bico, cenoura e cominho)</t>
  </si>
  <si>
    <t>Ícone uzbeque ganha versão de leguminosas que mantém aroma e corta ~2,5 kg CO₂e por porção.</t>
  </si>
  <si>
    <t>Vanuatu</t>
  </si>
  <si>
    <t>Laplap (carne e raiz de taro)</t>
  </si>
  <si>
    <t>Laplap Vegano (taro, coco e legumes)</t>
  </si>
  <si>
    <t>Prato nacional preserva a tradição das raízes e reduz ~70% das emissões e uso de água.</t>
  </si>
  <si>
    <t>Vaticano</t>
  </si>
  <si>
    <t>Pasta alla Carbonara (ovo e bacon)</t>
  </si>
  <si>
    <t>Pasta Carbonara Vegana (tofu defumado e creme de castanha)</t>
  </si>
  <si>
    <t>Versão ética e compatível com valores de compaixão, cortando 74% do impacto climático.</t>
  </si>
  <si>
    <t>Venezuela</t>
  </si>
  <si>
    <t>Pabellón Criollo (carne, arroz e banana)</t>
  </si>
  <si>
    <t>Pabellón Vegano (feijão-preto, jaca e banana)</t>
  </si>
  <si>
    <t>Receita icônica com feijão e jaca reduz ~2,1 kg CO₂e/porção e mantém sabor criollo.</t>
  </si>
  <si>
    <t>Phở (sopa de carne)</t>
  </si>
  <si>
    <t>Phở Vegano (tofu, brotos e ervas)</t>
  </si>
  <si>
    <t>118 000</t>
  </si>
  <si>
    <t>Caldo aromático e leve com mais fibras e 78% menos emissões.</t>
  </si>
  <si>
    <t>Wallis e Futuna</t>
  </si>
  <si>
    <t>Peixe no leite de coco</t>
  </si>
  <si>
    <t>Peixe Vegano (tofu e algas)</t>
  </si>
  <si>
    <t>Tofu e nori simulam textura e sabor oceânico com 70% menos impacto ambiental.</t>
  </si>
  <si>
    <t>Iêmen</t>
  </si>
  <si>
    <t>Salta (carne e fava)</t>
  </si>
  <si>
    <t>Salta Vegano (fava e batata)</t>
  </si>
  <si>
    <t>Versão vegana mantém o prato nacional com 73% menos impacto e igual nutrição.</t>
  </si>
  <si>
    <t>Nshima (com frango ou peixe)</t>
  </si>
  <si>
    <t>Nshima Vegana (milho e feijão)</t>
  </si>
  <si>
    <t>Alimento básico ganha versão mais sustentável sem perda cultural.</t>
  </si>
  <si>
    <t>Sadza (com carne e legumes)</t>
  </si>
  <si>
    <t>Sadza Vegano (milho, couve e feijão)</t>
  </si>
  <si>
    <t>Reinterpretação do prato nacional com leguminosas corta 70% de impacto ambiental.</t>
  </si>
  <si>
    <t>TOTAL GLOBAL (A–Z)</t>
  </si>
  <si>
    <t>Receitas Tradicionais do Mundo</t>
  </si>
  <si>
    <t>Receitas Veganas do Mundo</t>
  </si>
  <si>
    <t>A substituição global das principais receitas por equivalentes vegetais reduziria em média 75% das emissões e 82% do uso de água, poupando cerca de 107 mil animais por milhão de habitantes ao ano, com ganhos nutricionais expressivos e manutenção cultural.</t>
  </si>
  <si>
    <t>Poore &amp; Nemecek (Science, 2018); FAO (2022); Springmann et al. (Nature, 2021); IVU (2024); WAP (2023)</t>
  </si>
  <si>
    <t>**** Fontes científicas (consolidadas):
Poore &amp; Nemecek (Science, 2018); FAO (2022); Springmann et al. (Nature, 2021); IVU (2024); World Animal Protection (2023).</t>
  </si>
  <si>
    <t>País</t>
  </si>
  <si>
    <t>Receita</t>
  </si>
  <si>
    <t>Descrição</t>
  </si>
  <si>
    <t>Ingredientes</t>
  </si>
  <si>
    <t>Preparo</t>
  </si>
  <si>
    <t>Tempo</t>
  </si>
  <si>
    <t>Porções</t>
  </si>
  <si>
    <t>Tabela nutricional (por porção)</t>
  </si>
  <si>
    <t>Dica de ouro</t>
  </si>
  <si>
    <t>Sheer Khurma Vegano (Doce de Tâmaras e Amêndoas)</t>
  </si>
  <si>
    <t>Sobremesa afegã do Eid, feita tradicionalmente com leite e tâmaras, aqui adaptada para versão vegana rica em cálcio e ferro.</t>
  </si>
  <si>
    <t>Leite de amêndoas fortificado (500 ml), tâmaras (8 un), macarrão de arroz (50 g), pistaches (2 colheres), amêndoas (2 colheres), cardamomo em pó (1/2 colher chá).</t>
  </si>
  <si>
    <t>Ferva o leite de amêndoas, adicione o macarrão até amolecer. Acrescente tâmaras picadas, cardamomo e finalize com pistache e amêndoas tostadas.</t>
  </si>
  <si>
    <t>25 min</t>
  </si>
  <si>
    <t>Proteína: 7 g; Ferro: 3,2 mg; Cálcio: 220 mg; Zinco: 1,5 mg; Ômega-3: 0,5 g; Calorias: 180 kcal</t>
  </si>
  <si>
    <t>Use leite vegetal fortificado com cálcio para aumentar a densidade nutricional.</t>
  </si>
  <si>
    <t>Melktert Vegano</t>
  </si>
  <si>
    <t>Torta de leite sul-africana, adaptada com castanhas de caju e leite de soja, mantendo cremosidade e sabor.</t>
  </si>
  <si>
    <t>Massa vegana pronta (1 disco), castanhas de caju demolhadas (1 xíc.), leite de soja fortificado (500 ml), amido de milho (2 colheres), açúcar demerara (3 colheres), canela em pó.</t>
  </si>
  <si>
    <t>Bata castanhas, leite, açúcar e amido. Cozinhe até engrossar. Coloque sobre a massa e asse por 20 min. Polvilhe canela.</t>
  </si>
  <si>
    <t>40 min</t>
  </si>
  <si>
    <t>Proteína: 6 g; Ferro: 2,8 mg; Cálcio: 250 mg; Zinco: 1,2 mg; Ômega-3: 0,4 g; Calorias: 210 kcal</t>
  </si>
  <si>
    <t>As castanhas de caju substituem o creme de leite com gorduras boas e minerais.</t>
  </si>
  <si>
    <t>Trilece Vegano (Bolo de Três Leites)</t>
  </si>
  <si>
    <t>Doce albanês de bolo embebido em três leites, agora feito com versões vegetais para maior sustentabilidade.</t>
  </si>
  <si>
    <t>Farinha de trigo (1 ½ xíc.), açúcar (½ xíc.), óleo de girassol (¼ xíc.), fermento (1 colh. sopa), leite de coco, aveia e amêndoas (½ xíc. cada). Calda: açúcar mascavo + água.</t>
  </si>
  <si>
    <t>Prepare o bolo, asse a 180°C por 30 min. Fure e despeje a mistura dos três leites. Cubra com calda caramelizada.</t>
  </si>
  <si>
    <t>60 min</t>
  </si>
  <si>
    <t>Proteína: 5 g; Ferro: 2,5 mg; Cálcio: 210 mg; Zinco: 1,3 mg; Ômega-3: 0,4 g; Calorias: 240 kcal</t>
  </si>
  <si>
    <t>Combine leites vegetais diferentes para obter perfil nutricional mais completo.</t>
  </si>
  <si>
    <t>Floresta Negra Vegana</t>
  </si>
  <si>
    <t>Versão alemã sem ovos e sem laticínios da clássica Schwarzwälder Kirschtorte, rica em cacau e cerejas.</t>
  </si>
  <si>
    <t>Farinha (2 xíc.), cacau (¾ xíc.), açúcar (1 xíc.), óleo (½ xíc.), leite de soja (1 xíc.), vinagre (1 colh. sopa), cerejas (1 xíc.), chantilly de coco.</t>
  </si>
  <si>
    <t>Misture secos e líquidos, asse a 180°C por 35 min. Recheie com chantilly de coco e cerejas.</t>
  </si>
  <si>
    <t>70 min</t>
  </si>
  <si>
    <t>Proteína: 6 g; Ferro: 3,6 mg; Cálcio: 240 mg; Zinco: 1,4 mg; Ômega-3: 0,5 g; Calorias: 260 kcal</t>
  </si>
  <si>
    <t>Prefira cacau 70% para maior aporte de ferro e antioxidantes.</t>
  </si>
  <si>
    <t>Crema Catalana Vegana</t>
  </si>
  <si>
    <t>Versão andorrana sem ovos e sem leite, feita com leite de aveia fortificado e aromatizada com limão e canela.</t>
  </si>
  <si>
    <t>Leite de aveia fortificado (500 ml), açúcar (4 colh.), amido de milho (3 colh.), casca de limão, canela em pau.</t>
  </si>
  <si>
    <t>Misture tudo (menos casca e canela) até engrossar. Aromatize com limão e canela. Leve à geladeira. Polvilhe açúcar e caramelize.</t>
  </si>
  <si>
    <t>30 min + gelar</t>
  </si>
  <si>
    <t>Proteína: 5 g; Ferro: 2 mg; Cálcio: 220 mg; Zinco: 1 mg; Ômega-3: 0,3 g; Calorias: 190 kcal</t>
  </si>
  <si>
    <t>Use açúcar mascavo para caramelizar, obtendo sabor mais rico e menor impacto glicêmico.</t>
  </si>
  <si>
    <t>Cocada de Coco e Chia</t>
  </si>
  <si>
    <t>Sobremesa angolana tradicional, agora enriquecida com chia para aumentar fibras, cálcio e ômega-3.</t>
  </si>
  <si>
    <t>Coco ralado (2 xíc.), açúcar mascavo (1 xíc.), leite de coco (1 xíc.), sementes de chia (2 colh. sopa).</t>
  </si>
  <si>
    <t>Misture tudo, cozinhe até desgrudar da panela. Modele e deixe esfriar.</t>
  </si>
  <si>
    <t>Proteína: 3 g; Ferro: 1,9 mg; Cálcio: 120 mg; Zinco: 0,8 mg; Ômega-3: 1,6 g; Calorias: 150 kcal</t>
  </si>
  <si>
    <t>A chia aumenta fibras, cálcio e ômega-3, tornando a cocada mais nutritiva.</t>
  </si>
  <si>
    <t>Black Cake Vegana</t>
  </si>
  <si>
    <t>Versão caribenha da tradicional black cake de Antígua, feita com frutas secas embebidas em vinho ou suco.</t>
  </si>
  <si>
    <t>Frutas secas (2 xíc.), vinho do porto (½ xíc.), farinha (2 xíc.), açúcar mascavo (1 xíc.), óleo (½ xíc.), fermento (1 colh.).</t>
  </si>
  <si>
    <t>Hidrate frutas no vinho. Misture com massa e asse a 180°C por 45 min.</t>
  </si>
  <si>
    <t>Proteína: 4 g; Ferro: 2,2 mg; Cálcio: 150 mg; Zinco: 1 mg; Ômega-3: 0,4 g; Calorias: 280 kcal</t>
  </si>
  <si>
    <t>Hidrate frutas secas em suco de uva para versão sem álcool.</t>
  </si>
  <si>
    <t>Luqaimat Integral Vegano</t>
  </si>
  <si>
    <t>Bolinhos doces sauditas típicos do Ramadã, aqui em versão integral e vegana, servidos com calda de tâmaras.</t>
  </si>
  <si>
    <t>Farinha integral (2 xíc.), fermento (1 colh. sopa), açúcar (2 colh.), água morna (1 xíc.), óleo de coco (para fritar), calda de tâmaras.</t>
  </si>
  <si>
    <t>Misture a massa, deixe fermentar 1h. Modele bolinhas e frite. Regue com calda de tâmaras.</t>
  </si>
  <si>
    <t>90 min</t>
  </si>
  <si>
    <t>Proteína: 3 g; Ferro: 1,7 mg; Cálcio: 100 mg; Zinco: 0,7 mg; Ômega-3: 0,2 g; Calorias: 140 kcal</t>
  </si>
  <si>
    <t>Prefira fritar em pouco óleo de coco ou até assar no forno para reduzir gorduras.</t>
  </si>
  <si>
    <t>Makroud Vegano (Bolinhos de Sêmola e Tâmaras)</t>
  </si>
  <si>
    <t>Doce argelino tradicional do Ramadã, feito de sêmola, tâmaras e xarope, aqui em versão sem mel e com óleo de coco.</t>
  </si>
  <si>
    <t>Sêmola grossa (2 xíc.), tâmaras (1 xíc.), óleo de coco (3 colh.), água de flor de laranjeira (2 colh.), açúcar mascavo (½ xíc.).</t>
  </si>
  <si>
    <t>Faça uma massa com a sêmola, recheie com pasta de tâmaras, modele em losangos e asse. Regue com calda de açúcar e flor de laranjeira.</t>
  </si>
  <si>
    <t>Proteína: 4 g; Ferro: 2,5 mg; Cálcio: 90 mg; Zinco: 1 mg; Ômega-3: 0,3 g; Calorias: 190 kcal</t>
  </si>
  <si>
    <t>Use tâmaras frescas para aumentar fibras e reduzir o açúcar adicionado.</t>
  </si>
  <si>
    <t>Alfajor Vegano de Doce de Leite de Amêndoas</t>
  </si>
  <si>
    <t>O famoso alfajor argentino em versão sem leite e ovos, recheado com doce de leite de amêndoas.</t>
  </si>
  <si>
    <t>Farinha de trigo (2 xíc.), amido de milho (1 xíc.), óleo (½ xíc.), açúcar (½ xíc.), essência de baunilha, doce de leite de amêndoas (1 xíc.), chocolate amargo vegano (200 g).</t>
  </si>
  <si>
    <t>Prepare biscoitos com a massa, asse a 180°C por 12 min. Recheie com doce de leite e cubra com chocolate.</t>
  </si>
  <si>
    <t>Proteína: 4 g; Ferro: 2,1 mg; Cálcio: 110 mg; Zinco: 1,1 mg; Ômega-3: 0,2 g; Calorias: 220 kcal</t>
  </si>
  <si>
    <t>Prefira chocolate 70% para maior teor de ferro e antioxidantes.</t>
  </si>
  <si>
    <t>Gata Vegana (Pão Doce Recheado)</t>
  </si>
  <si>
    <t>Pão doce armênio recheado, adaptado sem laticínios e com leites vegetais.</t>
  </si>
  <si>
    <t>Farinha (3 xíc.), fermento biológico (1 colh. sopa), leite de aveia (1 xíc.), óleo (½ xíc.), açúcar (½ xíc.), nozes picadas (1 xíc.).</t>
  </si>
  <si>
    <t>Prepare a massa, deixe crescer. Abra, recheie com nozes e açúcar, enrole e asse a 180°C por 35 min.</t>
  </si>
  <si>
    <t>Proteína: 5 g; Ferro: 2,8 mg; Cálcio: 120 mg; Zinco: 1,2 mg; Ômega-3: 0,4 g; Calorias: 210 kcal</t>
  </si>
  <si>
    <t>As nozes fornecem zinco e ômega-3, essenciais para imunidade.</t>
  </si>
  <si>
    <t>Lamington Vegano</t>
  </si>
  <si>
    <t>Bolo australiano clássico em cubos cobertos de chocolate e coco, agora em versão vegana.</t>
  </si>
  <si>
    <t>Farinha (2 xíc.), açúcar (1 xíc.), óleo (½ xíc.), leite de soja (1 xíc.), fermento (1 colh. sopa), cacau em pó (½ xíc.), coco ralado (1 xíc.).</t>
  </si>
  <si>
    <t>Prepare o bolo, asse a 180°C por 30 min. Corte em cubos, passe na calda de cacau e depois no coco ralado.</t>
  </si>
  <si>
    <t>50 min</t>
  </si>
  <si>
    <t>Proteína: 3 g; Ferro: 2,2 mg; Cálcio: 140 mg; Zinco: 0,8 mg; Ômega-3: 0,3 g; Calorias: 170 kcal</t>
  </si>
  <si>
    <t>Use coco fresco ralado para intensificar sabor e adicionar fibras.</t>
  </si>
  <si>
    <t>Apfelstrudel Vegano (Strudel de Maçã)</t>
  </si>
  <si>
    <t>Típico doce austríaco, com massa folhada e recheio de maçã, canela e passas.</t>
  </si>
  <si>
    <t>Massa folhada vegana (1 rolo), maçãs verdes (4 un), passas (½ xíc.), açúcar mascavo (4 colh.), canela (1 colh. chá), nozes (½ xíc.).</t>
  </si>
  <si>
    <t>Abra a massa, recheie com maçãs picadas, passas e nozes. Enrole e asse a 200°C por 25 min.</t>
  </si>
  <si>
    <t>Proteína: 4 g; Ferro: 2,3 mg; Cálcio: 90 mg; Zinco: 1 mg; Ômega-3: 0,4 g; Calorias: 200 kcal</t>
  </si>
  <si>
    <t>Acrescente limão ao recheio para aumentar absorção de ferro da maçã.</t>
  </si>
  <si>
    <t>Shekerbura Vegana</t>
  </si>
  <si>
    <t>Sobremesa azeri tradicional de festividades, recheada com nozes e açúcar.</t>
  </si>
  <si>
    <t>Farinha (3 xíc.), leite de amêndoas (1 xíc.), óleo vegetal (½ xíc.), açúcar (1 xíc.), nozes trituradas (1 ½ xíc.), cardamomo em pó (1 colh. chá).</t>
  </si>
  <si>
    <t>Prepare a massa, recheie com nozes e cardamomo. Modele em formato de meia-lua, asse a 180°C por 20 min.</t>
  </si>
  <si>
    <t>Proteína: 5 g; Ferro: 2,6 mg; Cálcio: 110 mg; Zinco: 1,2 mg; Ômega-3: 0,5 g; Calorias: 210 kcal</t>
  </si>
  <si>
    <t>Use cardamomo fresco para realçar aroma e melhorar digestão.</t>
  </si>
  <si>
    <t>Guava Duff Vegano</t>
  </si>
  <si>
    <t>Sobremesa nacional das Bahamas, um rolinho doce de goiaba ao vapor, aqui adaptado sem laticínios.</t>
  </si>
  <si>
    <t>Goiaba em purê (1 xíc.), farinha (2 xíc.), óleo de coco (½ xíc.), açúcar (½ xíc.), leite de coco (½ xíc.), fermento (1 colh.).</t>
  </si>
  <si>
    <t>Prepare uma massa com farinha e óleo, recheie com purê de goiaba, enrole e cozinhe no vapor por 40 min.</t>
  </si>
  <si>
    <t>Proteína: 4 g; Ferro: 2,1 mg; Cálcio: 110 mg; Zinco: 0,9 mg; Ômega-3: 0,3 g; Calorias: 210 kcal</t>
  </si>
  <si>
    <t>Substitua parte da farinha por integral para aumentar fibras.</t>
  </si>
  <si>
    <t>Halwa Bahraini Vegano</t>
  </si>
  <si>
    <t>Versão vegana do halwa típico, doce gelatinoso de amido, açafrão e frutos secos.</t>
  </si>
  <si>
    <t>Amido de milho (½ xíc.), açúcar (1 xíc.), água de rosas (2 colh.), açafrão (pitada), pistaches (3 colh.), óleo de coco (2 colh.).</t>
  </si>
  <si>
    <t>Dissolva o amido, açúcar e água, cozinhe até engrossar. Acrescente açafrão e finalize com pistaches.</t>
  </si>
  <si>
    <t>Proteína: 3 g; Ferro: 2,3 mg; Cálcio: 90 mg; Zinco: 0,8 mg; Ômega-3: 0,2 g; Calorias: 180 kcal</t>
  </si>
  <si>
    <t>Pistaches adicionam zinco e gorduras boas ao doce.</t>
  </si>
  <si>
    <t>Mishti Doi Vegano (Iogurte Doce)</t>
  </si>
  <si>
    <t>Iogurte doce típico, feito sem leite animal, com coco e castanha de caju.</t>
  </si>
  <si>
    <t>Leite de coco (500 ml), castanhas de caju (1 xíc.), açúcar mascavo (½ xíc.), probióticos veganos (1 cáps.).</t>
  </si>
  <si>
    <t>Bata leite e castanhas, adoce, adicione probióticos e deixe fermentar 6h. Leve à geladeira.</t>
  </si>
  <si>
    <t>6h + gelar</t>
  </si>
  <si>
    <t>Proteína: 5 g; Ferro: 2,4 mg; Cálcio: 160 mg; Zinco: 1,2 mg; Ômega-3: 0,3 g; Calorias: 190 kcal</t>
  </si>
  <si>
    <t>Fermente bem para maior aporte probiótico.</t>
  </si>
  <si>
    <t>Conkies Vegano</t>
  </si>
  <si>
    <t>Bolinho doce no vapor, tradicional no Dia da Independência, agora sem leite e ovos.</t>
  </si>
  <si>
    <t>Fubá (1 xíc.), coco ralado (1 xíc.), abóbora ralada (1 xíc.), passas (½ xíc.), açúcar mascavo (½ xíc.), leite de amêndoas (1 xíc.), canela.</t>
  </si>
  <si>
    <t>Misture os ingredientes, envolva em folhas de bananeira e cozinhe no vapor por 40 min.</t>
  </si>
  <si>
    <t>Proteína: 4 g; Ferro: 2,2 mg; Cálcio: 100 mg; Zinco: 0,8 mg; Ômega-3: 0,3 g; Calorias: 200 kcal</t>
  </si>
  <si>
    <t>A abóbora fornece betacaroteno e fibras extras.</t>
  </si>
  <si>
    <t>Belarus</t>
  </si>
  <si>
    <t>Syrniki Vegano (Panquecas de Queijo Doce)</t>
  </si>
  <si>
    <t>Panquequinhas doces feitas tradicionalmente com queijo, aqui adaptadas com tofu.</t>
  </si>
  <si>
    <t>Tofu firme (200 g), farinha (½ xíc.), açúcar (3 colh.), óleo de coco (2 colh.), baunilha (1 colh. chá).</t>
  </si>
  <si>
    <t>Amasse o tofu, misture com farinha e açúcar. Modele panquequinhas e grelhe até dourar.</t>
  </si>
  <si>
    <t>30 min</t>
  </si>
  <si>
    <t>Proteína: 7 g; Ferro: 3,1 mg; Cálcio: 180 mg; Zinco: 1,3 mg; Ômega-3: 0,4 g; Calorias: 190 kcal</t>
  </si>
  <si>
    <t>Use tofu fortificado com cálcio para aumentar densidade mineral.</t>
  </si>
  <si>
    <t>Waffles Veganos de Bruxelas</t>
  </si>
  <si>
    <t>O clássico waffle belga, crocante por fora e macio por dentro, aqui sem leite nem ovos.</t>
  </si>
  <si>
    <t>Farinha (2 xíc.), fermento biológico (1 colh. sopa), leite de aveia (1 ½ xíc.), óleo (¼ xíc.), açúcar (¼ xíc.).</t>
  </si>
  <si>
    <t>Misture os ingredientes, deixe fermentar 1h. Cozinhe em máquina de waffles até dourar.</t>
  </si>
  <si>
    <t>Proteína: 5 g; Ferro: 2,2 mg; Cálcio: 130 mg; Zinco: 1,1 mg; Ômega-3: 0,3 g; Calorias: 220 kcal</t>
  </si>
  <si>
    <t>Sirva com frutas frescas para aumentar vitamina C e absorção de ferro.</t>
  </si>
  <si>
    <t>Rum Cake Vegano</t>
  </si>
  <si>
    <t>Bolo de rum caribenho, popular em Belize, adaptado sem ovos e com rum opcional.</t>
  </si>
  <si>
    <t>Farinha (2 xíc.), açúcar mascavo (1 xíc.), óleo (½ xíc.), leite de coco (1 xíc.), fermento (1 colh.), rum (¼ xíc. opcional).</t>
  </si>
  <si>
    <t>Misture ingredientes secos e molhados, asse a 180°C por 40 min. Finalize com calda de rum ou suco de laranja.</t>
  </si>
  <si>
    <t>Proteína: 4 g; Ferro: 2,1 mg; Cálcio: 100 mg; Zinco: 0,9 mg; Ômega-3: 0,2 g; Calorias: 240 kcal</t>
  </si>
  <si>
    <t>Substitua rum por suco de laranja para versão sem álcool.</t>
  </si>
  <si>
    <t>Benin</t>
  </si>
  <si>
    <t>Akpan Vegano (Sobremesa de Milho e Coco)</t>
  </si>
  <si>
    <t>Sobremesa cremosa de milho fermentado e coco, muito popular no Benin.</t>
  </si>
  <si>
    <t>Fubá fermentado (1 xíc.), leite de coco (2 xíc.), açúcar mascavo (½ xíc.), baunilha (1 colh. chá).</t>
  </si>
  <si>
    <t>Cozinhe o fubá com leite de coco até engrossar, adoce e sirva frio.</t>
  </si>
  <si>
    <t>Proteína: 4 g; Ferro: 2,2 mg; Cálcio: 110 mg; Zinco: 0,9 mg; Ômega-3: 0,2 g; Calorias: 180 kcal</t>
  </si>
  <si>
    <t>A fermentação melhora a biodisponibilidade do ferro.</t>
  </si>
  <si>
    <t>Buñuelos Veganos</t>
  </si>
  <si>
    <t>Bolinhos fritos bolivianos, servidos com mel, aqui com calda de rapadura.</t>
  </si>
  <si>
    <t>Farinha (2 xíc.), fermento (1 colh.), açúcar (½ xíc.), leite de aveia (1 xíc.), óleo para fritar, calda de rapadura.</t>
  </si>
  <si>
    <t>Prepare massa fofa, deixe fermentar 1h. Frite bolinhos e sirva com calda.</t>
  </si>
  <si>
    <t>Proteína: 3 g; Ferro: 2,1 mg; Cálcio: 100 mg; Zinco: 0,8 mg; Ômega-3: 0,2 g; Calorias: 190 kcal</t>
  </si>
  <si>
    <t>Use farinha integral para enriquecer fibras e minerais.</t>
  </si>
  <si>
    <t>Tufahija Vegana</t>
  </si>
  <si>
    <t>Maçãs cozidas recheadas com nozes e açúcar, servidas em calda.</t>
  </si>
  <si>
    <t>Maçãs (6 un), nozes (1 xíc.), açúcar mascavo (½ xíc.), canela (1 colh. chá), cravo (pitada).</t>
  </si>
  <si>
    <t>Cozinhe as maçãs descascadas em calda, recheie com nozes e canela, sirva frio.</t>
  </si>
  <si>
    <t>Proteína: 4 g; Ferro: 2,4 mg; Cálcio: 90 mg; Zinco: 1 mg; Ômega-3: 0,3 g; Calorias: 170 kcal</t>
  </si>
  <si>
    <t>Sirva com raspas de limão para maior absorção de ferro.</t>
  </si>
  <si>
    <t>Madila Vegano (Iogurte de Leite Fermentado)</t>
  </si>
  <si>
    <t>Versão vegana do iogurte típico, feita com leite de amêndoas e probióticos.</t>
  </si>
  <si>
    <t>Leite de amêndoas (500 ml), probióticos veganos (1 cáps.), açúcar mascavo (2 colh.).</t>
  </si>
  <si>
    <t>Aqueça o leite a 40°C, adicione probióticos, deixe fermentar 6h. Adoce e leve à geladeira.</t>
  </si>
  <si>
    <t>Proteína: 5 g; Ferro: 2,3 mg; Cálcio: 200 mg; Zinco: 1,2 mg; Ômega-3: 0,4 g; Calorias: 150 kcal</t>
  </si>
  <si>
    <t>Misture sementes de linhaça moída para aumentar o ômega-3.</t>
  </si>
  <si>
    <t>Pudim de Leite Condensado Vegano</t>
  </si>
  <si>
    <t>Ícone das sobremesas brasileiras, aqui adaptado com leite condensado de castanha de caju.</t>
  </si>
  <si>
    <t>Leite condensado de castanha (1 lata), leite de aveia (500 ml), amido de milho (3 colh.), açúcar para calda (½ xíc.).</t>
  </si>
  <si>
    <t>Prepare a calda, misture os demais ingredientes e cozinhe em banho-maria por 50 min.</t>
  </si>
  <si>
    <t>Proteína: 5 g; Ferro: 2,6 mg; Cálcio: 190 mg; Zinco: 1,1 mg; Ômega-3: 0,4 g; Calorias: 230 kcal</t>
  </si>
  <si>
    <t>Use leite condensado vegano fortificado para maior aporte de cálcio.</t>
  </si>
  <si>
    <t>Kuih Kosui Vegano</t>
  </si>
  <si>
    <t>Bolinho de arroz doce, feito no vapor com açúcar de palma.</t>
  </si>
  <si>
    <t>Farinha de arroz (1 xíc.), fécula de tapioca (½ xíc.), açúcar de palma (¾ xíc.), leite de coco (1 xíc.).</t>
  </si>
  <si>
    <t>Misture os ingredientes, coloque em forminhas e cozinhe no vapor por 30 min.</t>
  </si>
  <si>
    <t>45 min</t>
  </si>
  <si>
    <t>Proteína: 3 g; Ferro: 2,2 mg; Cálcio: 90 mg; Zinco: 0,8 mg; Ômega-3: 0,2 g; Calorias: 160 kcal</t>
  </si>
  <si>
    <t>Use açúcar de palma integral, rico em minerais.</t>
  </si>
  <si>
    <t>Banitsa Vegana Doce</t>
  </si>
  <si>
    <t>Massa folhada recheada com nozes e passas, versão doce da banitsa tradicional.</t>
  </si>
  <si>
    <t>Massa filo vegana (1 rolo), nozes (1 xíc.), passas (½ xíc.), açúcar mascavo (½ xíc.), canela (1 colh.).</t>
  </si>
  <si>
    <t>Monte camadas de massa e recheio, asse a 180°C por 35 min.</t>
  </si>
  <si>
    <t>Proteína: 5 g; Ferro: 2,5 mg; Cálcio: 120 mg; Zinco: 1,2 mg; Ômega-3: 0,4 g; Calorias: 220 kcal</t>
  </si>
  <si>
    <t>Acrescente tahine para reforçar cálcio e ferro.</t>
  </si>
  <si>
    <t>Degue Vegano (Cuscuz de Milhete com Iogurte)</t>
  </si>
  <si>
    <t>Sobremesa típica de cuscuz doce com iogurte, adaptada com leite vegetal.</t>
  </si>
  <si>
    <t>Milhete cozido (1 xíc.), leite de coco (1 xíc.), iogurte vegano (1 xíc.), açúcar mascavo (3 colh.), passas (¼ xíc.).</t>
  </si>
  <si>
    <t>Misture o milhete cozido com o iogurte e o leite de coco, adoce e sirva gelado.</t>
  </si>
  <si>
    <t>Proteína: 6 g; Ferro: 2,8 mg; Cálcio: 180 mg; Zinco: 1,3 mg; Ômega-3: 0,3 g; Calorias: 210 kcal</t>
  </si>
  <si>
    <t>O milhete é fonte de ferro e fibras, excelente para dietas veganas.</t>
  </si>
  <si>
    <t>Beignets de Banana Veganos</t>
  </si>
  <si>
    <t>Bolinhos fritos de banana, típicos como sobremesa e lanche em Burundi.</t>
  </si>
  <si>
    <t>Bananas maduras (3 un), farinha (1 xíc.), açúcar (3 colh.), fermento (1 colh.), óleo para fritar.</t>
  </si>
  <si>
    <t>Amasse bananas, misture os outros ingredientes, frite colheradas até dourar.</t>
  </si>
  <si>
    <t>Proteína: 2 g; Ferro: 1,6 mg; Cálcio: 70 mg; Zinco: 0,6 mg; Ômega-3: 0,2 g; Calorias: 130 kcal</t>
  </si>
  <si>
    <t>Prefira assar no forno para reduzir gorduras.</t>
  </si>
  <si>
    <t>Desi Vegano (Arroz Doce de Açafrão)</t>
  </si>
  <si>
    <t>Arroz doce festivo típico do Butão, feito com açafrão e frutas secas.</t>
  </si>
  <si>
    <t>Arroz (1 xíc.), leite de coco (2 xíc.), açúcar mascavo (½ xíc.), passas (½ xíc.), açafrão (pitada).</t>
  </si>
  <si>
    <t>Cozinhe o arroz no leite de coco com açúcar e açafrão. Finalize com passas.</t>
  </si>
  <si>
    <t>Proteína: 4 g; Ferro: 2,2 mg; Cálcio: 110 mg; Zinco: 0,9 mg; Ômega-3: 0,2 g; Calorias: 200 kcal</t>
  </si>
  <si>
    <t>Acrescente castanhas para enriquecer proteína e minerais.</t>
  </si>
  <si>
    <t>Pudim de Manga e Chia</t>
  </si>
  <si>
    <t>Doce tropical cremoso com chia e leite de coco, inspirado no “Num Ansom”.</t>
  </si>
  <si>
    <t>Manga madura, sementes de chia, leite de coco, xarope de tâmaras, raspas de limão.</t>
  </si>
  <si>
    <t>Misture tudo e leve à geladeira por 4h.</t>
  </si>
  <si>
    <t>10 min (+gelar)</t>
  </si>
  <si>
    <t>190 kcal, 5g proteína, 2,5mg ferro, 120mg cálcio, 1mg zinco, 1g ômega-3</t>
  </si>
  <si>
    <t>A chia fornece cálcio e ômega-3 de excelente absorção.</t>
  </si>
  <si>
    <t>Mote com Leite Vegetal</t>
  </si>
  <si>
    <t>Clássico chileno com trigo mote e leite de amêndoas.</t>
  </si>
  <si>
    <t>Trigo mote, leite de amêndoas, canela, açúcar mascavo.</t>
  </si>
  <si>
    <t>Cozinhe o mote e adicione o leite vegetal quente.</t>
  </si>
  <si>
    <t>230 kcal, 7g proteína, 2mg ferro, 90mg cálcio, 1mg zinco</t>
  </si>
  <si>
    <t>Use leite vegetal fortificado para mais cálcio.</t>
  </si>
  <si>
    <t>Dango Vegano com Calda de Tâmaras</t>
  </si>
  <si>
    <t>Versão vegetal dos bolinhos tradicionais asiáticos.</t>
  </si>
  <si>
    <t>Farinha de arroz, tâmaras, açúcar demerara, água.</t>
  </si>
  <si>
    <t>Cozinhe os bolinhos e cubra com calda de tâmaras.</t>
  </si>
  <si>
    <t>200 kcal, 4g proteína, 1,8mg ferro, 60mg cálcio, 0,7mg zinco</t>
  </si>
  <si>
    <t>Use melado no lugar do açúcar para aumentar o ferro.</t>
  </si>
  <si>
    <t>Arroz con Coco Vegano</t>
  </si>
  <si>
    <t>Sobremesa típica caribenha com toque cremoso.</t>
  </si>
  <si>
    <t>Arroz, leite de coco, açúcar mascavo, canela, passas.</t>
  </si>
  <si>
    <t>Cozinhe o arroz em leite de coco até engrossar.</t>
  </si>
  <si>
    <t>260 kcal, 5g proteína, 3mg ferro, 100mg cálcio, 1mg zinco</t>
  </si>
  <si>
    <t>Adicione coco fresco para gordura boa e sabor intenso.</t>
  </si>
  <si>
    <t>Tteok Doce de Feijão Vermelho</t>
  </si>
  <si>
    <t>Bolo de arroz doce com pasta de feijão azuki.</t>
  </si>
  <si>
    <t>Farinha de arroz glutinoso, feijão azuki, açúcar, óleo de gergelim.</t>
  </si>
  <si>
    <t>Cozinhe o feijão e use como recheio do bolo a vapor.</t>
  </si>
  <si>
    <t>280 kcal, 8g proteína, 2,5mg ferro, 60mg cálcio, 1,1mg zinco</t>
  </si>
  <si>
    <t>Feijão azuki é excelente fonte de ferro e proteína.</t>
  </si>
  <si>
    <t>Palačinke Veganas (Panquecas Recheadas)</t>
  </si>
  <si>
    <t>Panqueca fina recheada com geleia ou creme de castanhas.</t>
  </si>
  <si>
    <t>Farinha integral, leite de aveia, óleo vegetal, geleia natural.</t>
  </si>
  <si>
    <t>Misture e asse, depois recheie e enrole.</t>
  </si>
  <si>
    <t>210 kcal, 6g proteína, 1,9mg ferro, 70mg cálcio, 0,8mg zinco</t>
  </si>
  <si>
    <t>Adicione linhaça na massa para mais ômega-3.</t>
  </si>
  <si>
    <t>Doce de Banana Verde com Coco</t>
  </si>
  <si>
    <t>Sobremesa tropical caribenha cremosa.</t>
  </si>
  <si>
    <t>Banana verde, coco ralado, açúcar mascavo, cravo, canela.</t>
  </si>
  <si>
    <t>Cozinhe até formar calda caramelizada.</t>
  </si>
  <si>
    <t>240 kcal, 3g proteína, 2mg ferro, 50mg cálcio, 0,6mg zinco</t>
  </si>
  <si>
    <t>O coco aumenta o teor de zinco e boas gorduras.</t>
  </si>
  <si>
    <t>Koldskål de Soja com Frutas Vermelhas</t>
  </si>
  <si>
    <t>Versão vegana do clássico dinamarquês refrescante.</t>
  </si>
  <si>
    <t>Iogurte de soja, limão, baunilha, morangos, aveia crocante.</t>
  </si>
  <si>
    <t>Misture e sirva gelado.</t>
  </si>
  <si>
    <t>15 min</t>
  </si>
  <si>
    <t>180 kcal, 8g proteína, 1,6mg ferro, 120mg cálcio, 0,9mg zinco</t>
  </si>
  <si>
    <t>Use iogurte fortificado para igualar o cálcio do leite.</t>
  </si>
  <si>
    <t>Basbousa Vegana</t>
  </si>
  <si>
    <t>Doce de sêmola e amêndoas com calda cítrica.</t>
  </si>
  <si>
    <t>Sêmola, amêndoas, leite de aveia, açúcar de coco, flor de laranjeira.</t>
  </si>
  <si>
    <t>Misture, asse e regue com calda cítrica.</t>
  </si>
  <si>
    <t>220 kcal, 5g proteína, 2,3mg ferro, 85mg cálcio, 1,2mg zinco</t>
  </si>
  <si>
    <t>As amêndoas aumentam cálcio e proteína.</t>
  </si>
  <si>
    <t>Empanadas de Plátano Veganas</t>
  </si>
  <si>
    <t>Bolinhos doces de banana com recheio de coco.</t>
  </si>
  <si>
    <t>Banana-da-terra, coco ralado, canela, açúcar demerara.</t>
  </si>
  <si>
    <t>Amasse, recheie e asse.</t>
  </si>
  <si>
    <t>35 min</t>
  </si>
  <si>
    <t>250 kcal, 3g proteína, 2mg ferro, 70mg cálcio, 0,9mg zinco</t>
  </si>
  <si>
    <t>Adicione chia ao recheio para ômega-3.</t>
  </si>
  <si>
    <t>Clássico espanhol com leite vegetal e açúcar queimado.</t>
  </si>
  <si>
    <t>Leite de aveia, amido de milho, casca de limão, açúcar.</t>
  </si>
  <si>
    <t>Cozinhe até engrossar e caramelize o topo.</t>
  </si>
  <si>
    <t>210 kcal, 5g proteína, 1,7mg ferro, 80mg cálcio, 0,8mg zinco</t>
  </si>
  <si>
    <t>Use açúcar mascavo para sabor mais rico e ferro.</t>
  </si>
  <si>
    <t>Halo-Halo Vegano</t>
  </si>
  <si>
    <t>Mix gelado de frutas e leite de coco.</t>
  </si>
  <si>
    <t>Mangas, feijão doce, leite de coco, gelo, agar-agar.</t>
  </si>
  <si>
    <t>180 kcal, 4g proteína, 1,5mg ferro, 90mg cálcio, 1mg zinco</t>
  </si>
  <si>
    <t>Adicione linhaça triturada para aumentar o ômega-3.</t>
  </si>
  <si>
    <t>Pulla Vegana (Pão Doce de Cardamomo)</t>
  </si>
  <si>
    <t>Pão doce aromático finlandês.</t>
  </si>
  <si>
    <t>Farinha de trigo, leite de aveia, cardamomo, açúcar mascavo.</t>
  </si>
  <si>
    <t>Sove e asse até dourar.</t>
  </si>
  <si>
    <t>1h</t>
  </si>
  <si>
    <t>220 kcal, 6g proteína, 2mg ferro, 70mg cálcio, 0,7mg zinco</t>
  </si>
  <si>
    <t>Cardamomo tem ação digestiva e antioxidante.</t>
  </si>
  <si>
    <t>Crème Brûlée Vegana</t>
  </si>
  <si>
    <t>Clássico francês sem laticínios com base de castanha de caju.</t>
  </si>
  <si>
    <t>Castanha de caju, leite de aveia, baunilha, açúcar.</t>
  </si>
  <si>
    <t>Bata, aqueça até engrossar e caramelize o topo.</t>
  </si>
  <si>
    <t>240 kcal, 6g proteína, 2,3mg ferro, 80mg cálcio, 1,1mg zinco</t>
  </si>
  <si>
    <t>Castanhas de caju elevam o teor de zinco e ferro.</t>
  </si>
  <si>
    <t>Bolinhos de Amendoim e Gengibre</t>
  </si>
  <si>
    <t>Doce africano energético e rico em ferro.</t>
  </si>
  <si>
    <t>Amendoim torrado, gengibre, melaço de cana, aveia.</t>
  </si>
  <si>
    <t>Misture e molde bolinhas.</t>
  </si>
  <si>
    <t>20 min</t>
  </si>
  <si>
    <t>150 kcal, 5g proteína, 1,9mg ferro, 40mg cálcio, 0,8mg zinco</t>
  </si>
  <si>
    <t>O melaço é excelente fonte de ferro biodisponível.</t>
  </si>
  <si>
    <t>Revani Vegano com Calda de Limão</t>
  </si>
  <si>
    <t>Bolo úmido de sêmola típico das ilhas gregas.</t>
  </si>
  <si>
    <t>Sêmola, leite vegetal, limão, açúcar demerara, óleo de oliva.</t>
  </si>
  <si>
    <t>Asse e regue com calda cítrica.</t>
  </si>
  <si>
    <t>230 kcal, 5g proteína, 2,2mg ferro, 75mg cálcio, 1mg zinco</t>
  </si>
  <si>
    <t>Use azeite extravirgem para antioxidantes extras.</t>
  </si>
  <si>
    <t>Atol de Elote Vegano</t>
  </si>
  <si>
    <t>Creme doce de milho típico centro-americano.</t>
  </si>
  <si>
    <t>Milho, leite de coco, açúcar mascavo, canela.</t>
  </si>
  <si>
    <t>Cozinhe até engrossar.</t>
  </si>
  <si>
    <t>200 kcal, 4g proteína, 2mg ferro, 90mg cálcio, 0,7mg zinco</t>
  </si>
  <si>
    <t>Milho fresco garante textura e doçura natural.</t>
  </si>
  <si>
    <t>Dous Makos Vegano</t>
  </si>
  <si>
    <t>Doce em camadas tradicional haitiano.</t>
  </si>
  <si>
    <t>Leite de coco, farinha de trigo, cacau, baunilha, açúcar.</t>
  </si>
  <si>
    <t>Cozinhe em camadas coloridas.</t>
  </si>
  <si>
    <t>260 kcal, 4g proteína, 2mg ferro, 70mg cálcio, 1mg zinco</t>
  </si>
  <si>
    <t>Use cacau 100% para mais ferro e antioxidantes.</t>
  </si>
  <si>
    <t>Stroopwafel Vegano</t>
  </si>
  <si>
    <t>Waffle fino com calda de caramelo vegetal.</t>
  </si>
  <si>
    <t>Farinha integral, açúcar mascavo, óleo de coco, xarope de tâmara.</t>
  </si>
  <si>
    <t>Prepare as massas e recheie com calda quente.</t>
  </si>
  <si>
    <t>270 kcal, 5g proteína, 2,5mg ferro, 80mg cálcio, 1mg zinco</t>
  </si>
  <si>
    <t>Xarope de tâmara aumenta o ferro e o sabor caramelado.</t>
  </si>
  <si>
    <t>Somlói Galuska Vegano</t>
  </si>
  <si>
    <t>Bolo esponjoso com calda de chocolate e nozes.</t>
  </si>
  <si>
    <t>Farinha integral, cacau, nozes, leite de aveia, açúcar.</t>
  </si>
  <si>
    <t>Monte camadas e finalize com ganache vegetal.</t>
  </si>
  <si>
    <t>300 kcal, 7g proteína, 3mg ferro, 100mg cálcio, 1,2mg zinco</t>
  </si>
  <si>
    <t>Nozes elevam o teor de ômega-3 e zinco.</t>
  </si>
  <si>
    <t>Gulab Jamun Vegano</t>
  </si>
  <si>
    <t>Bolinhas doces em calda aromática.</t>
  </si>
  <si>
    <t>Farinha de grão-de-bico, leite de coco, cardamomo, açúcar.</t>
  </si>
  <si>
    <t>Frite e mergulhe em calda de açúcar e especiarias.</t>
  </si>
  <si>
    <t>280 kcal, 6g proteína, 2,6mg ferro, 90mg cálcio, 1mg zinco</t>
  </si>
  <si>
    <t>Cardamomo e água de rosas elevam o aroma e digestão.</t>
  </si>
  <si>
    <t>Dadar Gulung Vegano</t>
  </si>
  <si>
    <t>Panqueca verde recheada com coco e açúcar de palma.</t>
  </si>
  <si>
    <t>Farinha de arroz, suco de pandan, coco ralado, açúcar de coco.</t>
  </si>
  <si>
    <t>Cozinhe o recheio, enrole as panquecas e sirva.</t>
  </si>
  <si>
    <t>250 kcal, 5g proteína, 2mg ferro, 70mg cálcio, 0,8mg zinco</t>
  </si>
  <si>
    <t>Pandan é antioxidante natural e digestivo.</t>
  </si>
  <si>
    <t>Faloodeh Vegano</t>
  </si>
  <si>
    <t>Sobremesa gelada com macarrão fino e água de rosas.</t>
  </si>
  <si>
    <t>Macarrão de arroz, água de rosas, açúcar, suco de limão.</t>
  </si>
  <si>
    <t>Congelar parcialmente e raspar antes de servir.</t>
  </si>
  <si>
    <t>190 kcal, 3g proteína, 1,5mg ferro, 40mg cálcio, 0,5mg zinco</t>
  </si>
  <si>
    <t>Adicione pistache para mais ferro e ômega-3.</t>
  </si>
  <si>
    <t>Pão Doce de Passas e Linhaça</t>
  </si>
  <si>
    <t>Pão doce tradicional irlandês.</t>
  </si>
  <si>
    <t>Farinha integral, passas, leite vegetal, linhaça moída.</t>
  </si>
  <si>
    <t>Misture, asse até dourar.</t>
  </si>
  <si>
    <t>230 kcal, 7g proteína, 2,8mg ferro, 90mg cálcio, 1mg zinco</t>
  </si>
  <si>
    <t>A linhaça fornece ômega-3 e melhora digestão.</t>
  </si>
  <si>
    <t>Halva Vegana</t>
  </si>
  <si>
    <t>Doce denso de gergelim típico do Oriente Médio.</t>
  </si>
  <si>
    <t>Tahine, açúcar mascavo, baunilha, pistache.</t>
  </si>
  <si>
    <t>Aqueça o açúcar e misture ao tahine, resfrie.</t>
  </si>
  <si>
    <t>270 kcal, 6g proteína, 2,9mg ferro, 120mg cálcio, 1,2mg zinco</t>
  </si>
  <si>
    <t>Gergelim é rico em cálcio e ferro biodisponível.</t>
  </si>
  <si>
    <t>Tiramisù Vegano</t>
  </si>
  <si>
    <t>Clássico italiano sem laticínios, com tofu e café.</t>
  </si>
  <si>
    <t>Biscoito vegano, tofu cremoso, café forte, cacau.</t>
  </si>
  <si>
    <t>Monte camadas e leve à geladeira.</t>
  </si>
  <si>
    <t>30 min (+gelar)</t>
  </si>
  <si>
    <t>260 kcal, 8g proteína, 2,5mg ferro, 85mg cálcio, 1mg zinco</t>
  </si>
  <si>
    <t>Use tofu sedoso para textura perfeita e proteína extra.</t>
  </si>
  <si>
    <t>Anmitsu Vegano</t>
  </si>
  <si>
    <t>Sobremesa japonesa com gelatina vegetal e frutas.</t>
  </si>
  <si>
    <t>Agar-agar, feijão azuki, frutas variadas, xarope de açúcar mascavo.</t>
  </si>
  <si>
    <t>Prepare o agar e sirva com frutas e calda.</t>
  </si>
  <si>
    <t>180 kcal, 4g proteína, 1,8mg ferro, 60mg cálcio, 0,8mg zinco</t>
  </si>
  <si>
    <t>Agar é excelente fonte vegetal de minerais.</t>
  </si>
  <si>
    <t>Knafeh Vegano</t>
  </si>
  <si>
    <t>Doce árabe de fios de massa e calda de rosas.</t>
  </si>
  <si>
    <t>Massa kataifi, creme de castanha-de-caju, açúcar, água de rosas, pistache.</t>
  </si>
  <si>
    <t>Monte em camadas, asse e regue com calda.</t>
  </si>
  <si>
    <t>290 kcal, 7g proteína, 2,8mg ferro, 110mg cálcio, 1,1mg zinco</t>
  </si>
  <si>
    <t>Use pistaches frescos para mais zinco e sabor floral.</t>
  </si>
  <si>
    <t>Mandazi Vegano</t>
  </si>
  <si>
    <t>Bolinhos doces fritos típicos da África Oriental.</t>
  </si>
  <si>
    <t>Farinha integral, leite de coco, açúcar mascavo, cardamomo, óleo vegetal.</t>
  </si>
  <si>
    <t>Modele triângulos e frite até dourar.</t>
  </si>
  <si>
    <t>260 kcal, 5g proteína, 2,2mg ferro, 70mg cálcio, 0,9mg zinco</t>
  </si>
  <si>
    <t>Adicione chia à massa para ômega-3 e textura leve.</t>
  </si>
  <si>
    <t>Mafroukeh Vegano</t>
  </si>
  <si>
    <t>Pasta doce de semolina e pistache.</t>
  </si>
  <si>
    <t>Sêmola, pistache moído, açúcar, óleo de coco, flor de laranjeira.</t>
  </si>
  <si>
    <t>Cozinhe até engrossar e molde em discos.</t>
  </si>
  <si>
    <t>240 kcal, 6g proteína, 2,6mg ferro, 95mg cálcio, 1,2mg zinco</t>
  </si>
  <si>
    <t>Pistache é fonte de zinco e proteína vegetal.</t>
  </si>
  <si>
    <t>Šakotis Vegano</t>
  </si>
  <si>
    <t>Bolo em camadas tradicional, versão vegetal.</t>
  </si>
  <si>
    <t>Farinha, leite vegetal, óleo de coco, açúcar, baunilha.</t>
  </si>
  <si>
    <t>Asse em camadas finas sucessivas.</t>
  </si>
  <si>
    <t>250 kcal, 5g proteína, 2mg ferro, 80mg cálcio, 0,8mg zinco</t>
  </si>
  <si>
    <t>Substitua parte da farinha por aveia para mais ferro.</t>
  </si>
  <si>
    <t>Quetschentaart Vegano</t>
  </si>
  <si>
    <t>Torta de ameixa com massa integral.</t>
  </si>
  <si>
    <t>Farinha integral, ameixas frescas, açúcar mascavo, óleo vegetal.</t>
  </si>
  <si>
    <t>Asse até dourar e caramelizar as frutas.</t>
  </si>
  <si>
    <t>220 kcal, 4g proteína, 1,7mg ferro, 70mg cálcio, 0,7mg zinco</t>
  </si>
  <si>
    <t>Use ameixas secas para aumentar ferro e fibra.</t>
  </si>
  <si>
    <t>Koba Vegano</t>
  </si>
  <si>
    <t>Bolo de banana, arroz e amendoim cozido em folha.</t>
  </si>
  <si>
    <t>Banana, arroz, amendoim, açúcar de coco, folha de bananeira.</t>
  </si>
  <si>
    <t>Bata e cozinhe envolto nas folhas.</t>
  </si>
  <si>
    <t>300 kcal, 8g proteína, 2,5mg ferro, 90mg cálcio, 1mg zinco</t>
  </si>
  <si>
    <t>O amendoim é fonte de proteína e zinco.</t>
  </si>
  <si>
    <t>Cendol Vegano</t>
  </si>
  <si>
    <t>Sobremesa gelada com feijão, coco e gelatina vegetal.</t>
  </si>
  <si>
    <t>Leite de coco, feijão vermelho, açúcar de palma, agar-agar, pandan.</t>
  </si>
  <si>
    <t>Monte em camadas e sirva gelado.</t>
  </si>
  <si>
    <t>230 kcal, 5g proteína, 2mg ferro, 80mg cálcio, 0,8mg zinco</t>
  </si>
  <si>
    <t>Use açúcar de palma não refinado para ferro extra.</t>
  </si>
  <si>
    <t>Imqaret Vegano</t>
  </si>
  <si>
    <t>Pastel recheado de tâmaras frito.</t>
  </si>
  <si>
    <t>Farinha, tâmaras, óleo de coco, anis, canela.</t>
  </si>
  <si>
    <t>Recheie e frite até dourar.</t>
  </si>
  <si>
    <t>250 kcal, 4g proteína, 2,3mg ferro, 60mg cálcio, 0,7mg zinco</t>
  </si>
  <si>
    <t>Tâmaras são ricas em ferro e energia natural.</t>
  </si>
  <si>
    <t>Chebakia Vegana</t>
  </si>
  <si>
    <t>Biscoito marroquino de melado e gergelim.</t>
  </si>
  <si>
    <t>Farinha, gergelim, canela, melado de cana, óleo vegetal.</t>
  </si>
  <si>
    <t>Modele, frite e mergulhe no melado.</t>
  </si>
  <si>
    <t>280 kcal, 6g proteína, 2,8mg ferro, 120mg cálcio, 1,3mg zinco</t>
  </si>
  <si>
    <t>O gergelim é excelente fonte de cálcio e zinco.</t>
  </si>
  <si>
    <t>Arroz Doce Mexicano com Leite de Amêndoas</t>
  </si>
  <si>
    <t>Versão vegana do arroz doce tradicional.</t>
  </si>
  <si>
    <t>Arroz, leite de amêndoas, canela, açúcar mascavo.</t>
  </si>
  <si>
    <t>Cozinhe até engrossar e sirva polvilhado com canela.</t>
  </si>
  <si>
    <t>230 kcal, 6g proteína, 2,5mg ferro, 100mg cálcio, 0,9mg zinco</t>
  </si>
  <si>
    <t>Adicione passas para aumentar ferro e sabor.</t>
  </si>
  <si>
    <t>Bortsog Vegano</t>
  </si>
  <si>
    <t>Biscoitos fritos típicos mongóis.</t>
  </si>
  <si>
    <t>Farinha, leite vegetal, açúcar demerara, óleo vegetal.</t>
  </si>
  <si>
    <t>Modele tiras e frite até dourar.</t>
  </si>
  <si>
    <t>240 kcal, 4g proteína, 2mg ferro, 65mg cálcio, 0,6mg zinco</t>
  </si>
  <si>
    <t>Use farinha integral para aumentar o teor de ferro.</t>
  </si>
  <si>
    <t>Pamonha Doce Vegana</t>
  </si>
  <si>
    <t>Clássico de milho com coco e canela.</t>
  </si>
  <si>
    <t>Milho verde, coco ralado, açúcar mascavo, canela.</t>
  </si>
  <si>
    <t>Cozinhe no vapor em palha de milho.</t>
  </si>
  <si>
    <t>260 kcal, 5g proteína, 2,3mg ferro, 70mg cálcio, 0,8mg zinco</t>
  </si>
  <si>
    <t>Coco e milho fresco aumentam ferro e fibra.</t>
  </si>
  <si>
    <t>Khir Vegano (Arroz Doce Nepali)</t>
  </si>
  <si>
    <t>Doce de arroz aromático com especiarias.</t>
  </si>
  <si>
    <t>Arroz, leite de coco, cardamomo, açúcar demerara, castanhas.</t>
  </si>
  <si>
    <t>Cozinhe lentamente até engrossar.</t>
  </si>
  <si>
    <t>240 kcal, 6g proteína, 2,4mg ferro, 90mg cálcio, 1mg zinco</t>
  </si>
  <si>
    <t>Cardamomo melhora digestão e aroma.</t>
  </si>
  <si>
    <t>Puff-Puff Vegano</t>
  </si>
  <si>
    <t>Bolinhas doces fritas populares.</t>
  </si>
  <si>
    <t>Farinha integral, fermento, açúcar, leite de soja.</t>
  </si>
  <si>
    <t>Deixe fermentar e frite até dourar.</t>
  </si>
  <si>
    <t>220 kcal, 5g proteína, 2mg ferro, 75mg cálcio, 0,9mg zinco</t>
  </si>
  <si>
    <t>Frite em óleo de amendoim para sabor e ômega-3.</t>
  </si>
  <si>
    <t>Krumkake Vegano</t>
  </si>
  <si>
    <t>Biscoito fino enrolado com recheio de creme vegetal.</t>
  </si>
  <si>
    <t>Farinha, leite de aveia, açúcar, óleo de coco, baunilha.</t>
  </si>
  <si>
    <t>Asse em chapa e enrole quente.</t>
  </si>
  <si>
    <t>210 kcal, 5g proteína, 2mg ferro, 70mg cálcio, 0,8mg zinco</t>
  </si>
  <si>
    <t>Recheie com castanha moída para mais proteína.</t>
  </si>
  <si>
    <t>Pavlova Vegana com Aquafaba</t>
  </si>
  <si>
    <t>Sobremesa leve de merengue e frutas.</t>
  </si>
  <si>
    <t>Aquafaba, açúcar, amido de milho, frutas frescas.</t>
  </si>
  <si>
    <t>Bata a aquafaba até formar picos e asse lentamente.</t>
  </si>
  <si>
    <t>1h15</t>
  </si>
  <si>
    <t>180 kcal, 3g proteína, 1,8mg ferro, 40mg cálcio, 0,6mg zinco</t>
  </si>
  <si>
    <t>Aquafaba substitui clara e dá textura aerada sem colesterol.</t>
  </si>
  <si>
    <t>Cocada de Coco e Abacaxi</t>
  </si>
  <si>
    <t>Versão tropical e vegana do doce clássico.</t>
  </si>
  <si>
    <t>Coco ralado, abacaxi, açúcar demerara, limão.</t>
  </si>
  <si>
    <t>Cozinhe até formar massa úmida.</t>
  </si>
  <si>
    <t>200 kcal, 3g proteína, 2mg ferro, 60mg cálcio, 0,7mg zinco</t>
  </si>
  <si>
    <t>O abacaxi ajuda na digestão e adiciona vitamina C.</t>
  </si>
  <si>
    <t>Mazamorra Vegana com Leite de Coco</t>
  </si>
  <si>
    <t>Doce de milho branco e coco.</t>
  </si>
  <si>
    <t>Milho branco, leite de coco, açúcar mascavo, canela.</t>
  </si>
  <si>
    <t>Cozinhe até engrossar e sirva morno.</t>
  </si>
  <si>
    <t>230 kcal, 4g proteína, 2,1mg ferro, 85mg cálcio, 0,9mg zinco</t>
  </si>
  <si>
    <t>Use leite de coco fresco para mais cremosidade.</t>
  </si>
  <si>
    <t>Suspiro Limeño Vegano</t>
  </si>
  <si>
    <t>Doce clássico peruano com base cremosa vegetal.</t>
  </si>
  <si>
    <t>Leite de aveia, açúcar, baunilha, vinho branco, merengue de aquafaba.</t>
  </si>
  <si>
    <t>Cozinhe o creme e finalize com merengue.</t>
  </si>
  <si>
    <t>260 kcal, 5g proteína, 2,3mg ferro, 80mg cálcio, 0,8mg zinco</t>
  </si>
  <si>
    <t>Substitua açúcar por melaço para ferro adicional.</t>
  </si>
  <si>
    <t>Makowiec Vegano</t>
  </si>
  <si>
    <t>Rocambole de semente de papoula e nozes.</t>
  </si>
  <si>
    <t>Farinha integral, sementes de papoula, nozes, açúcar mascavo, leite vegetal.</t>
  </si>
  <si>
    <t>Recheie, enrole e asse.</t>
  </si>
  <si>
    <t>280 kcal, 7g proteína, 2,8mg ferro, 90mg cálcio, 1,2mg zinco</t>
  </si>
  <si>
    <t>Sementes de papoula são fonte de cálcio e ômega-3.</t>
  </si>
  <si>
    <t>Arroz Doce à Portuguesa Vegano</t>
  </si>
  <si>
    <t>Doce cremoso com limão e canela.</t>
  </si>
  <si>
    <t>Arroz, leite de aveia, casca de limão, açúcar, canela.</t>
  </si>
  <si>
    <t>Cozinhe até engrossar e polvilhe canela.</t>
  </si>
  <si>
    <t>220 kcal, 5g proteína, 1,9mg ferro, 90mg cálcio, 0,8mg zinco</t>
  </si>
  <si>
    <t>Use arroz carnaroli ou arbório para textura cremosa.</t>
  </si>
  <si>
    <t>Kheer de Coco e Cardamomo</t>
  </si>
  <si>
    <t>Versão paquistanesa cremosa do arroz-doce.</t>
  </si>
  <si>
    <t>Arroz basmati, leite de coco, cardamomo, açúcar mascavo, amêndoas.</t>
  </si>
  <si>
    <t>Cozinhe até engrossar e finalize com amêndoas torradas.</t>
  </si>
  <si>
    <t>250 kcal, 6g proteína, 2,5mg ferro, 100mg cálcio, 1mg zinco</t>
  </si>
  <si>
    <t>Use cardamomo fresco e amêndoas para mais cálcio.</t>
  </si>
  <si>
    <t>Doce de milho branco tradicional.</t>
  </si>
  <si>
    <t>Use leite de coco fresco para textura mais cremosa.</t>
  </si>
  <si>
    <t>Doce cremoso peruano adaptado sem ovos.</t>
  </si>
  <si>
    <t>Leite de aveia, açúcar, baunilha, vinho branco, aquafaba.</t>
  </si>
  <si>
    <t>Cozinhe o creme e finalize com merengue de aquafaba.</t>
  </si>
  <si>
    <t>Melaço de cana aumenta o ferro e sabor caramelado.</t>
  </si>
  <si>
    <t>Recheie, enrole e asse até dourar.</t>
  </si>
  <si>
    <t>Sementes de papoula são ricas em cálcio e ômega-3.</t>
  </si>
  <si>
    <t>Arroz, leite de aveia, casca de limão, açúcar mascavo.</t>
  </si>
  <si>
    <t>Cozinhe até engrossar e polvilhe com canela.</t>
  </si>
  <si>
    <t>Use arroz carnaroli ou arbório para textura ideal.</t>
  </si>
  <si>
    <t>Bolinhos doces de coco típicos africanos.</t>
  </si>
  <si>
    <t>Farinha, leite de coco, açúcar mascavo, cardamomo.</t>
  </si>
  <si>
    <t>Modele e frite até dourar.</t>
  </si>
  <si>
    <t>Adicione chia à massa para ômega-3.</t>
  </si>
  <si>
    <t>República Dominicana</t>
  </si>
  <si>
    <t>Habichuelas con Dulce Veganas</t>
  </si>
  <si>
    <t>Creme doce de feijão com leite vegetal.</t>
  </si>
  <si>
    <t>Feijão vermelho, leite de coco, canela, batata-doce, açúcar.</t>
  </si>
  <si>
    <t>Cozinhe até engrossar e sirva frio.</t>
  </si>
  <si>
    <t>270 kcal, 6g proteína, 2,6mg ferro, 100mg cálcio, 1mg zinco</t>
  </si>
  <si>
    <t>O feijão é excelente fonte de ferro e proteína vegetal.</t>
  </si>
  <si>
    <t>Cozonac Vegano</t>
  </si>
  <si>
    <t>Pão doce recheado com nozes e cacau.</t>
  </si>
  <si>
    <t>Farinha integral, nozes, cacau, açúcar mascavo, leite de aveia.</t>
  </si>
  <si>
    <t>Sove, recheie e asse até dourar.</t>
  </si>
  <si>
    <t>1h20</t>
  </si>
  <si>
    <t>300 kcal, 8g proteína, 3mg ferro, 90mg cálcio, 1,2mg zinco</t>
  </si>
  <si>
    <t>Nozes e cacau enriquecem ferro e antioxidantes.</t>
  </si>
  <si>
    <t>Syrniki Vegano (Panqueca de Ricota Vegetal)</t>
  </si>
  <si>
    <t>Versão russa feita com tofu e farinha integral.</t>
  </si>
  <si>
    <t>Tofu, farinha integral, açúcar, baunilha, óleo vegetal.</t>
  </si>
  <si>
    <t>Modele e grelhe em frigideira.</t>
  </si>
  <si>
    <t>230 kcal, 10g proteína, 2,5mg ferro, 85mg cálcio, 1mg zinco</t>
  </si>
  <si>
    <t>Tofu aumenta proteína e cálcio biodisponível.</t>
  </si>
  <si>
    <t>Thiakry Vegano (Cuscuz Doce)</t>
  </si>
  <si>
    <t>Cuscuz de milhete com leite de coco e frutas.</t>
  </si>
  <si>
    <t>Milhete, leite de coco, açúcar mascavo, canela, passas.</t>
  </si>
  <si>
    <t>Cozinhe e sirva gelado com frutas secas.</t>
  </si>
  <si>
    <t>250 kcal, 7g proteína, 2,8mg ferro, 110mg cálcio, 1,1mg zinco</t>
  </si>
  <si>
    <t>Milhete é ótimo para ferro e cálcio vegetal.</t>
  </si>
  <si>
    <t>Palacinke com Nozes e Chocolate Vegano</t>
  </si>
  <si>
    <t>Panqueca doce tradicional dos Balcãs.</t>
  </si>
  <si>
    <t>Farinha integral, leite vegetal, cacau, nozes.</t>
  </si>
  <si>
    <t>Misture, frite e recheie com creme de cacau.</t>
  </si>
  <si>
    <t>260 kcal, 6g proteína, 2,5mg ferro, 80mg cálcio, 1mg zinco</t>
  </si>
  <si>
    <t>Use cacau 100% e nozes para mais ferro e ômega-3.</t>
  </si>
  <si>
    <t>Kueh Dadar Vegano</t>
  </si>
  <si>
    <t>Farinha de arroz, pandan, coco ralado, açúcar de coco.</t>
  </si>
  <si>
    <t>Cozinhe o recheio e enrole as panquecas.</t>
  </si>
  <si>
    <t>Pandan é digestivo e antioxidante natural.</t>
  </si>
  <si>
    <t>Ma’amoul Vegano</t>
  </si>
  <si>
    <t>Biscoito recheado de tâmara.</t>
  </si>
  <si>
    <t>Farinha integral, tâmaras, óleo de coco, água de rosas.</t>
  </si>
  <si>
    <t>Recheie e asse até dourar.</t>
  </si>
  <si>
    <t>240 kcal, 4g proteína, 2,3mg ferro, 60mg cálcio, 0,8mg zinco</t>
  </si>
  <si>
    <t>Tâmaras fornecem ferro e energia natural.</t>
  </si>
  <si>
    <t>Wattalappam Vegano</t>
  </si>
  <si>
    <t>Doce de coco e especiarias semelhante a pudim.</t>
  </si>
  <si>
    <t>Leite de coco, açúcar de coco, canela, cravo, noz-moscada.</t>
  </si>
  <si>
    <t>Cozinhe no vapor até firmar.</t>
  </si>
  <si>
    <t>270 kcal, 4g proteína, 2,5mg ferro, 80mg cálcio, 0,9mg zinco</t>
  </si>
  <si>
    <t>Use açúcar de coco orgânico para mais ferro.</t>
  </si>
  <si>
    <t>Kanelbullar Vegano</t>
  </si>
  <si>
    <t>Pão doce de canela em espiral.</t>
  </si>
  <si>
    <t>Farinha integral, leite de aveia, açúcar mascavo, canela.</t>
  </si>
  <si>
    <t>Enrole, corte e asse até dourar.</t>
  </si>
  <si>
    <t>250 kcal, 6g proteína, 2,1mg ferro, 90mg cálcio, 0,8mg zinco</t>
  </si>
  <si>
    <t>Canela melhora sensibilidade à insulina.</t>
  </si>
  <si>
    <t>Schokoladenmousse Vegano</t>
  </si>
  <si>
    <t>Mousse de chocolate suíço com abacate e cacau.</t>
  </si>
  <si>
    <t>Abacate maduro, cacau 100%, açúcar demerara, leite vegetal.</t>
  </si>
  <si>
    <t>Bata até cremoso e leve à geladeira.</t>
  </si>
  <si>
    <t>15 min (+gelar)</t>
  </si>
  <si>
    <t>260 kcal, 5g proteína, 2,7mg ferro, 70mg cálcio, 1mg zinco</t>
  </si>
  <si>
    <t>Abacate adiciona ferro, zinco e gorduras boas.</t>
  </si>
  <si>
    <t>Khanom Chan Vegano</t>
  </si>
  <si>
    <t>Doce colorido em camadas com coco e pandan.</t>
  </si>
  <si>
    <t>Farinha de arroz, leite de coco, pandan, açúcar de coco.</t>
  </si>
  <si>
    <t>Cozinhe cada camada ao vapor.</t>
  </si>
  <si>
    <t>220 kcal, 4g proteína, 2mg ferro, 75mg cálcio, 0,8mg zinco</t>
  </si>
  <si>
    <t>Pandan é antioxidante e digestivo.</t>
  </si>
  <si>
    <t>Mandazi de Coco e Gergelim</t>
  </si>
  <si>
    <t>Variação africana de bolinhos fritos.</t>
  </si>
  <si>
    <t>Farinha, coco ralado, gergelim, leite vegetal.</t>
  </si>
  <si>
    <t>Frite até dourar e sirva morno.</t>
  </si>
  <si>
    <t>260 kcal, 6g proteína, 2,4mg ferro, 120mg cálcio, 1,3mg zinco</t>
  </si>
  <si>
    <t>Gergelim e coco aumentam cálcio e ômega-3.</t>
  </si>
  <si>
    <t>Baklava Vegana em Melado de Damasco</t>
  </si>
  <si>
    <t>Clássico árabe com nozes e calda frutada.</t>
  </si>
  <si>
    <t>Massa filo, nozes, melado de damasco, canela.</t>
  </si>
  <si>
    <t>Monte em camadas, asse e regue.</t>
  </si>
  <si>
    <t>280 kcal, 7g proteína, 2,6mg ferro, 100mg cálcio, 1,1mg zinco</t>
  </si>
  <si>
    <t>Use melado em vez de açúcar para ferro natural.</t>
  </si>
  <si>
    <t>Kazandibi Vegano</t>
  </si>
  <si>
    <t>Pudim caramelizado típico turco.</t>
  </si>
  <si>
    <t>Leite de aveia, amido de milho, açúcar mascavo, baunilha.</t>
  </si>
  <si>
    <t>Cozinhe e caramelize a base.</t>
  </si>
  <si>
    <t>230 kcal, 4g proteína, 1,9mg ferro, 85mg cálcio, 0,9mg zinco</t>
  </si>
  <si>
    <t>Substitua o açúcar por xarope de tâmaras para mais ferro.</t>
  </si>
  <si>
    <t>Syrnyky Vegano</t>
  </si>
  <si>
    <t>Panqueca doce com tofu e frutas.</t>
  </si>
  <si>
    <t>Tofu, farinha integral, açúcar, raspas de limão, óleo vegetal.</t>
  </si>
  <si>
    <t>Misture, modele e grelhe até dourar.</t>
  </si>
  <si>
    <t>240 kcal, 9g proteína, 2,5mg ferro, 90mg cálcio, 1mg zinco</t>
  </si>
  <si>
    <t>Tofu é ótima fonte de proteína e cálcio.</t>
  </si>
  <si>
    <t>Flan de Coco Vegano</t>
  </si>
  <si>
    <t>Doce tradicional uruguaio feito com leite vegetal.</t>
  </si>
  <si>
    <t>Leite de coco, açúcar mascavo, amido de milho, baunilha.</t>
  </si>
  <si>
    <t>Cozinhe até engrossar, leve à forma e resfrie.</t>
  </si>
  <si>
    <t>210 kcal, 4g proteína, 2mg ferro, 80mg cálcio, 0,8mg zinco</t>
  </si>
  <si>
    <t>Substitua parte do açúcar por melado para mais ferro.</t>
  </si>
  <si>
    <t>Navat Vegano (Cristais de Açúcar e Açafrão)</t>
  </si>
  <si>
    <t>Doce simbólico de hospitalidade adaptado com açúcar natural.</t>
  </si>
  <si>
    <t>Açúcar demerara, açafrão, suco de limão.</t>
  </si>
  <si>
    <t>Ferva até cristalizar e deixe secar.</t>
  </si>
  <si>
    <t>180 kcal, 0g proteína, 1mg ferro, 20mg cálcio, 0,2mg zinco</t>
  </si>
  <si>
    <t>Use açafrão verdadeiro: antioxidante e anti-inflamatório.</t>
  </si>
  <si>
    <t>Crostata Vegana de Figo</t>
  </si>
  <si>
    <t>Torta italiana leve com figos frescos e aveia.</t>
  </si>
  <si>
    <t>Farinha de aveia, figos, óleo de coco, açúcar de coco, canela.</t>
  </si>
  <si>
    <t>Monte e asse até dourar.</t>
  </si>
  <si>
    <t>240 kcal, 5g proteína, 2mg ferro, 75mg cálcio, 0,8mg zinco</t>
  </si>
  <si>
    <t>Figos aumentam ferro e fibras solúveis.</t>
  </si>
  <si>
    <t>Quesillo Vegano</t>
  </si>
  <si>
    <t>Pudim cremoso sem ovos, com leite vegetal e baunilha.</t>
  </si>
  <si>
    <t>Cozinhe e leve ao forno em banho-maria.</t>
  </si>
  <si>
    <t>220 kcal, 4g proteína, 2,2mg ferro, 80mg cálcio, 0,7mg zinco</t>
  </si>
  <si>
    <t>Use amido de milho orgânico para textura perfeita.</t>
  </si>
  <si>
    <t>Che Chuoi Vegano</t>
  </si>
  <si>
    <t>Doce quente de banana e tapioca.</t>
  </si>
  <si>
    <t>Banana, pérolas de tapioca, leite de coco, açúcar mascavo, gergelim.</t>
  </si>
  <si>
    <t>230 kcal, 4g proteína, 2,4mg ferro, 90mg cálcio, 1mg zinco</t>
  </si>
  <si>
    <t>Gergelim torrado adiciona cálcio e sabor.</t>
  </si>
  <si>
    <t>Vietnã (Norte)</t>
  </si>
  <si>
    <t>Banh Cam Vegano</t>
  </si>
  <si>
    <t>Bolinhos fritos de arroz com recheio doce.</t>
  </si>
  <si>
    <t>Farinha de arroz, feijão mungo, açúcar, gergelim.</t>
  </si>
  <si>
    <t>Recheie, modele e frite até dourar.</t>
  </si>
  <si>
    <t>270 kcal, 6g proteína, 2,8mg ferro, 120mg cálcio, 1,2mg zinco</t>
  </si>
  <si>
    <t>Gergelim e feijão mungo são fontes excelentes de ferro.</t>
  </si>
  <si>
    <t>Sweet Nshima com Amendoim e Coco</t>
  </si>
  <si>
    <t>Versão doce do prato tradicional africano.</t>
  </si>
  <si>
    <t>Farinha de milho, amendoim torrado, leite de coco, açúcar.</t>
  </si>
  <si>
    <t>Cozinhe até engrossar e sirva quente.</t>
  </si>
  <si>
    <t>290 kcal, 7g proteína, 2,6mg ferro, 85mg cálcio, 1mg zinco</t>
  </si>
  <si>
    <t>Amendoim é ótimo para proteína e zinco.</t>
  </si>
  <si>
    <t>Maputi Caramelizado Doce</t>
  </si>
  <si>
    <t>Pipoca local caramelizada com melaço e coco.</t>
  </si>
  <si>
    <t>Milho estourado, melaço, coco ralado, açúcar mascavo.</t>
  </si>
  <si>
    <t>Cozinhe o melaço, misture à pipoca e deixe secar.</t>
  </si>
  <si>
    <t>210 kcal, 3g proteína, 2mg ferro, 60mg cálcio, 0,7mg zinco</t>
  </si>
  <si>
    <t>O melaço é fonte riquíssima de ferro e cálcio.</t>
  </si>
  <si>
    <t>Koklo Méli Méli Vegano</t>
  </si>
  <si>
    <t>Doce de coco e farinha de mandioca.</t>
  </si>
  <si>
    <t>Coco ralado, mandioca ralada, açúcar mascavo, canela.</t>
  </si>
  <si>
    <t>Misture e asse até firmar.</t>
  </si>
  <si>
    <t>240 kcal, 5g proteína, 2,3mg ferro, 80mg cálcio, 0,9mg zinco</t>
  </si>
  <si>
    <t>Mandioca fornece energia limpa e ferro vegetal.</t>
  </si>
  <si>
    <t>Puligi Vegano</t>
  </si>
  <si>
    <t>Bolo polinésio cozido no vapor.</t>
  </si>
  <si>
    <t>Farinha de trigo, coco ralado, açúcar de coco, baunilha.</t>
  </si>
  <si>
    <t>Bata e cozinhe no vapor até firme.</t>
  </si>
  <si>
    <t>260 kcal, 5g proteína, 2,2mg ferro, 85mg cálcio, 0,8mg zinco</t>
  </si>
  <si>
    <t>Coco fresco é excelente fonte de gordura boa e zinco.</t>
  </si>
  <si>
    <t>Pone Vegano de Batata-Doce e Coco</t>
  </si>
  <si>
    <t>Bolo úmido e picante tradicional.</t>
  </si>
  <si>
    <t>Batata-doce, coco ralado, açúcar mascavo, gengibre, noz-moscada.</t>
  </si>
  <si>
    <t>Asse até dourar.</t>
  </si>
  <si>
    <t>270 kcal, 4g proteína, 2,4mg ferro, 90mg cálcio, 1mg zinco</t>
  </si>
  <si>
    <t>Gengibre melhora digestão e absorção de ferro.</t>
  </si>
  <si>
    <t>Doce folhado com calda frutada e nozes.</t>
  </si>
  <si>
    <t>Monte, asse e regue com calda.</t>
  </si>
  <si>
    <t>Matoke Doce Vegano</t>
  </si>
  <si>
    <t>Puré de banana com coco e especiarias.</t>
  </si>
  <si>
    <t>Banana-da-terra, leite de coco, cardamomo, açúcar mascavo.</t>
  </si>
  <si>
    <t>Cozinhe até cremoso.</t>
  </si>
  <si>
    <t>240 kcal, 3g proteína, 2,1mg ferro, 70mg cálcio, 0,8mg zinco</t>
  </si>
  <si>
    <t>Cozinhar com leite de coco aumenta absorção de ferro.</t>
  </si>
  <si>
    <t>Pudim leve e aromático típico uruguaio.</t>
  </si>
  <si>
    <t>Leve ao fogo e resfrie antes de servir.</t>
  </si>
  <si>
    <t>Adicione raspas de limão para realçar o sabor.</t>
  </si>
  <si>
    <t>Tarte de Manga e Coco Vegana</t>
  </si>
  <si>
    <t>Sobremesa tropical leve e nutritiva.</t>
  </si>
  <si>
    <t>Manga, coco ralado, farinha de aveia, açúcar de coco.</t>
  </si>
  <si>
    <t>Bata e asse até firme.</t>
  </si>
  <si>
    <t>230 kcal, 4g proteína, 2,2mg ferro, 85mg cálcio, 0,9mg zinco</t>
  </si>
  <si>
    <t>A manga é rica em ferro e vitamina C.</t>
  </si>
  <si>
    <t>Che Ba Mau Vegano</t>
  </si>
  <si>
    <t>Doce colorido com feijão, agar e coco.</t>
  </si>
  <si>
    <t>Feijão mungo, agar-agar, leite de coco, açúcar mascavo.</t>
  </si>
  <si>
    <t>Cozinhe cada camada e monte em copos.</t>
  </si>
  <si>
    <t>220 kcal, 5g proteína, 2,4mg ferro, 80mg cálcio, 1mg zinco</t>
  </si>
  <si>
    <t>Feijão mungo e agar aumentam o aporte mineral.</t>
  </si>
  <si>
    <t>Sweet Nshima Vegana com Coco e Amendoim</t>
  </si>
  <si>
    <t>Doce típico adaptado com coco.</t>
  </si>
  <si>
    <t>Farinha de milho, amendoim, leite de coco, açúcar mascavo.</t>
  </si>
  <si>
    <t>Amendoim é excelente para ferro e zinco vegetal.</t>
  </si>
  <si>
    <t>Cozinhe o melaço, misture e deixe secar.</t>
  </si>
  <si>
    <t>Melaço é fonte riquíssima de ferro e cálcio.</t>
  </si>
  <si>
    <t>Loukoum Vegano (Delícia de Rosa)</t>
  </si>
  <si>
    <t>Doce gelatinoso com água de rosas.</t>
  </si>
  <si>
    <t>Agar-agar, água de rosas, açúcar de coco, amido de milho.</t>
  </si>
  <si>
    <t>Ferva até engrossar e resfrie.</t>
  </si>
  <si>
    <t>200 kcal, 2g proteína, 2mg ferro, 40mg cálcio, 0,5mg zinco</t>
  </si>
  <si>
    <t>Adicione pistache picado para mais ferro e zinco.</t>
  </si>
  <si>
    <t>Makovec Vegano</t>
  </si>
  <si>
    <t>Bolo de sementes de papoula e limão.</t>
  </si>
  <si>
    <t>Farinha integral, sementes de papoula, limão, açúcar mascavo.</t>
  </si>
  <si>
    <t>Misture e asse até dourar.</t>
  </si>
  <si>
    <t>250 kcal, 6g proteína, 2,8mg ferro, 100mg cálcio, 1mg zinco</t>
  </si>
  <si>
    <t>Papoula é rica em cálcio e ômega-3.</t>
  </si>
  <si>
    <t>Potica Vegana</t>
  </si>
  <si>
    <t>Bolo enrolado de nozes tradicional.</t>
  </si>
  <si>
    <t>Farinha, nozes, açúcar mascavo, leite de aveia.</t>
  </si>
  <si>
    <t>270 kcal, 7g proteína, 2,6mg ferro, 85mg cálcio, 1mg zinco</t>
  </si>
  <si>
    <t>Nozes aumentam ferro e proteína vegetal.</t>
  </si>
  <si>
    <t>Kissel Vegano</t>
  </si>
  <si>
    <t>Sobremesa de frutas vermelhas espessada.</t>
  </si>
  <si>
    <t>Frutas vermelhas, amido de batata, açúcar mascavo.</t>
  </si>
  <si>
    <t>Ferva até engrossar.</t>
  </si>
  <si>
    <t>180 kcal, 2g proteína, 1,5mg ferro, 40mg cálcio, 0,5mg zinco</t>
  </si>
  <si>
    <t>Sirva com leite de aveia para mais cálcio.</t>
  </si>
  <si>
    <t>Kleina Vegana</t>
  </si>
  <si>
    <t>Biscoitos doces fritos com cardamomo.</t>
  </si>
  <si>
    <t>Farinha integral, cardamomo, açúcar, leite vegetal.</t>
  </si>
  <si>
    <t>Frite e polvilhe com açúcar.</t>
  </si>
  <si>
    <t>230 kcal, 4g proteína, 2mg ferro, 75mg cálcio, 0,8mg zinco</t>
  </si>
  <si>
    <t>Use farinha integral para mais ferro.</t>
  </si>
  <si>
    <t>Khao Tom Mad Vegano</t>
  </si>
  <si>
    <t>Doce de arroz e banana cozido em folha de bananeira.</t>
  </si>
  <si>
    <t>Arroz glutinoso, banana, coco, açúcar mascavo.</t>
  </si>
  <si>
    <t>Envolva e cozinhe no vapor.</t>
  </si>
  <si>
    <t>260 kcal, 5g proteína, 2,3mg ferro, 85mg cálcio, 0,9mg zinco</t>
  </si>
  <si>
    <t>Cozinhar em folha realça o sabor e conserva minerais.</t>
  </si>
  <si>
    <t>Sklandrausis Vegano</t>
  </si>
  <si>
    <t>Torta doce de batata e cenoura.</t>
  </si>
  <si>
    <t>Batata, cenoura, aveia, açúcar mascavo, canela.</t>
  </si>
  <si>
    <t>Bata, monte e asse até dourar.</t>
  </si>
  <si>
    <t>240 kcal, 5g proteína, 2,2mg ferro, 70mg cálcio, 0,8mg zinco</t>
  </si>
  <si>
    <t>Cenoura aumenta betacaroteno e ferro.</t>
  </si>
  <si>
    <t>Apfelkuchen Vegano</t>
  </si>
  <si>
    <t>Bolo de maçã alpino com canela.</t>
  </si>
  <si>
    <t>Maçã, farinha integral, açúcar mascavo, leite de aveia.</t>
  </si>
  <si>
    <t>220 kcal, 4g proteína, 2mg ferro, 80mg cálcio, 0,8mg zinco</t>
  </si>
  <si>
    <t>Use maçã com casca para mais fibras e zinco.</t>
  </si>
  <si>
    <t>Torta de ameixa típica luxemburguesa.</t>
  </si>
  <si>
    <t>Farinha integral, ameixas, açúcar mascavo, óleo vegetal.</t>
  </si>
  <si>
    <t>Monte e asse até caramelizar as frutas.</t>
  </si>
  <si>
    <t>Use ameixas frescas e maduras para sabor intenso.</t>
  </si>
  <si>
    <t>Tartelette de Framboesa Vegana</t>
  </si>
  <si>
    <t>Pequenas tortas francesas com frutas frescas.</t>
  </si>
  <si>
    <t>Farinha integral, framboesas, leite vegetal, açúcar de coco.</t>
  </si>
  <si>
    <t>Monte e asse.</t>
  </si>
  <si>
    <t>200 kcal, 3g proteína, 1,8mg ferro, 60mg cálcio, 0,7mg zinco</t>
  </si>
  <si>
    <t>Framboesas são ricas em antioxidantes e ferro.</t>
  </si>
  <si>
    <t>Cajeta de Coco Vegana</t>
  </si>
  <si>
    <t>Doce de coco caramelizado.</t>
  </si>
  <si>
    <t>Coco ralado, açúcar de coco, canela, limão.</t>
  </si>
  <si>
    <t>Cozinhe até formar caramelo espesso.</t>
  </si>
  <si>
    <t>240 kcal, 3g proteína, 2,3mg ferro, 70mg cálcio, 0,8mg zinco</t>
  </si>
  <si>
    <t>Coco fresco aumenta ferro e textura cremosa.</t>
  </si>
  <si>
    <t>Halwa de Açafrão Vegana</t>
  </si>
  <si>
    <t>Doce árabe espesso com cardamomo e açafrão.</t>
  </si>
  <si>
    <t>Farinha, amido, açúcar de coco, açafrão, água de rosas.</t>
  </si>
  <si>
    <t>Cozinhe até engrossar e despeje em forma.</t>
  </si>
  <si>
    <t>250 kcal, 4g proteína, 2,4mg ferro, 60mg cálcio, 0,8mg zinco</t>
  </si>
  <si>
    <t>Açafrão é anti-inflamatório e digestivo.</t>
  </si>
  <si>
    <t>Kaukau Pudding Vegano</t>
  </si>
  <si>
    <t>Pudim de batata-doce e coco.</t>
  </si>
  <si>
    <t>Batata-doce, coco ralado, açúcar demerara, canela.</t>
  </si>
  <si>
    <t>Cozinhe até engrossar e leve ao forno.</t>
  </si>
  <si>
    <t>270 kcal, 5g proteína, 2,5mg ferro, 85mg cálcio, 0,9mg zinco</t>
  </si>
  <si>
    <t>Batata-doce fornece ferro e fibras naturais.</t>
  </si>
  <si>
    <t>Luqaimat Vegano</t>
  </si>
  <si>
    <t>Bolinhas doces com calda de tâmaras.</t>
  </si>
  <si>
    <t>Farinha, fermento, tâmaras, óleo de coco.</t>
  </si>
  <si>
    <t>Frite e regue com calda.</t>
  </si>
  <si>
    <t>240 kcal, 4g proteína, 2,1mg ferro, 70mg cálcio, 0,8mg zinco</t>
  </si>
  <si>
    <t>Tâmaras fortalecem o sangue e fornecem energia.</t>
  </si>
  <si>
    <t>Crostata de Damasco Vegana</t>
  </si>
  <si>
    <t>Torta italiana de frutas adaptada.</t>
  </si>
  <si>
    <t>Farinha integral, damascos, açúcar demerara, óleo vegetal.</t>
  </si>
  <si>
    <t>Damascos são ricos em ferro e vitamina A.</t>
  </si>
  <si>
    <t>Doce de Cacau e Banana Vegano</t>
  </si>
  <si>
    <t>Doce tropical cremoso e rico em ferro.</t>
  </si>
  <si>
    <t>Cacau, banana, açúcar mascavo, leite de coco.</t>
  </si>
  <si>
    <t>Bata e cozinhe até engrossar.</t>
  </si>
  <si>
    <t>260 kcal, 5g proteína, 3mg ferro, 90mg cálcio, 1mg zinco</t>
  </si>
  <si>
    <t>Cacau de origem local aumenta ferro e sustentabilidade.</t>
  </si>
  <si>
    <t>Ladob de Banana Vegano</t>
  </si>
  <si>
    <t>Banana cozida com coco e baunilha.</t>
  </si>
  <si>
    <t>Banana, leite de coco, açúcar mascavo, baunilha.</t>
  </si>
  <si>
    <t>Cozinhe até formar creme.</t>
  </si>
  <si>
    <t>250 kcal, 3g proteína, 2,4mg ferro, 85mg cálcio, 0,8mg zinco</t>
  </si>
  <si>
    <t>Coco fresco garante textura rica e cálcio natural.</t>
  </si>
  <si>
    <t>Muzongue Doce Vegano</t>
  </si>
  <si>
    <t>Doce tradicional de banana e amendoim.</t>
  </si>
  <si>
    <t>Banana, amendoim torrado, leite de coco, açúcar mascavo.</t>
  </si>
  <si>
    <t>Amasse e cozinhe até engrossar.</t>
  </si>
  <si>
    <t>270 kcal, 6g proteína, 2,4mg ferro, 90mg cálcio, 1mg zinco</t>
  </si>
  <si>
    <t>Amendoim é excelente fonte de proteína e ferro.</t>
  </si>
  <si>
    <t>Botswana</t>
  </si>
  <si>
    <t>Mogodu Doce de Milhete Vegano</t>
  </si>
  <si>
    <t>Papa doce feita com milhete e melado.</t>
  </si>
  <si>
    <t>Milhete, leite de coco, açúcar de coco, canela.</t>
  </si>
  <si>
    <t>260 kcal, 5g proteína, 2,3mg ferro, 85mg cálcio, 0,8mg zinco</t>
  </si>
  <si>
    <t>Milhete é cereal africano rico em ferro e cálcio.</t>
  </si>
  <si>
    <t>Dèguè Vegano (Iogurte de Milhete)</t>
  </si>
  <si>
    <t>Sobremesa cremosa fermentada de milhete e coco.</t>
  </si>
  <si>
    <t>Milhete, leite de coco, açúcar mascavo, baunilha.</t>
  </si>
  <si>
    <t>Ferva o milhete e misture ao leite de coco.</t>
  </si>
  <si>
    <t>250 kcal, 6g proteína, 2,5mg ferro, 110mg cálcio, 1mg zinco</t>
  </si>
  <si>
    <t>O milhete é fonte completa de ferro vegetal.</t>
  </si>
  <si>
    <t>Grogue de Coco Doce Vegano</t>
  </si>
  <si>
    <t>Doce com rum local e coco.</t>
  </si>
  <si>
    <t>Coco ralado, açúcar mascavo, rum de cana, cravo.</t>
  </si>
  <si>
    <t>Cozinhe até formar pasta.</t>
  </si>
  <si>
    <t>230 kcal, 3g proteína, 2mg ferro, 70mg cálcio, 0,7mg zinco</t>
  </si>
  <si>
    <t>O coco ajuda na absorção do ferro.</t>
  </si>
  <si>
    <t>Claclo Doce Vegano (Banana Frita)</t>
  </si>
  <si>
    <t>Bolinhos fritos de banana e farinha de milho.</t>
  </si>
  <si>
    <t>Banana, farinha de milho, açúcar, óleo vegetal.</t>
  </si>
  <si>
    <t>Amasse, frite e sirva com melado.</t>
  </si>
  <si>
    <t>260 kcal, 4g proteína, 2,1mg ferro, 60mg cálcio, 0,7mg zinco</t>
  </si>
  <si>
    <t>Use melado em vez de açúcar para mais ferro.</t>
  </si>
  <si>
    <t>Sambuusa Doce Vegana</t>
  </si>
  <si>
    <t>Pastel recheado com tâmaras e castanhas.</t>
  </si>
  <si>
    <t>Massa filo, tâmaras, castanha de caju, açúcar mascavo.</t>
  </si>
  <si>
    <t>Recheie, asse até dourar.</t>
  </si>
  <si>
    <t>240 kcal, 4g proteína, 2,3mg ferro, 80mg cálcio, 0,9mg zinco</t>
  </si>
  <si>
    <t>Himber Doce Vegano (Geléia de Frutas Vermelhas)</t>
  </si>
  <si>
    <t>Doce típico de frutas vermelhas servido com pão.</t>
  </si>
  <si>
    <t>Frutas vermelhas, açúcar de coco, limão.</t>
  </si>
  <si>
    <t>Cozinhe até formar geléia.</t>
  </si>
  <si>
    <t>180 kcal, 2g proteína, 2mg ferro, 50mg cálcio, 0,6mg zinco</t>
  </si>
  <si>
    <t>Use frutas locais para mais antioxidantes.</t>
  </si>
  <si>
    <t>Foutou Doce Vegano de Banana e Amendoim</t>
  </si>
  <si>
    <t>Purê doce com leite vegetal.</t>
  </si>
  <si>
    <t>Banana-da-terra, amendoim, leite de coco, açúcar mascavo.</t>
  </si>
  <si>
    <t>Amasse e cozinhe até cremoso.</t>
  </si>
  <si>
    <t>270 kcal, 6g proteína, 2,4mg ferro, 80mg cálcio, 1mg zinco</t>
  </si>
  <si>
    <t>Amendoim é fonte de zinco e ferro.</t>
  </si>
  <si>
    <t>Bolo de Cajú Vegano</t>
  </si>
  <si>
    <t>Bolo de castanha-de-caju e coco.</t>
  </si>
  <si>
    <t>Castanha-de-caju, farinha de trigo, açúcar de coco, leite de aveia.</t>
  </si>
  <si>
    <t>Bata e asse até dourar.</t>
  </si>
  <si>
    <t>280 kcal, 6g proteína, 2,5mg ferro, 85mg cálcio, 1mg zinco</t>
  </si>
  <si>
    <t>Castanha-de-caju fornece zinco e cálcio vegetal.</t>
  </si>
  <si>
    <t>Likhobe Vegano (Milho Doce com Amendoim)</t>
  </si>
  <si>
    <t>Doce típico rural africano.</t>
  </si>
  <si>
    <t>Milho, amendoim, açúcar mascavo, leite vegetal.</t>
  </si>
  <si>
    <t>260 kcal, 5g proteína, 2,2mg ferro, 90mg cálcio, 1mg zinco</t>
  </si>
  <si>
    <t>Use amendoim cru para mais ferro e zinco.</t>
  </si>
  <si>
    <t>Palm Butter Doce Vegano</t>
  </si>
  <si>
    <t>Doce de coco e amendoim com óleo de palma.</t>
  </si>
  <si>
    <t>Coco, amendoim, açúcar mascavo, óleo de palma vermelho.</t>
  </si>
  <si>
    <t>Cozinhe até caramelizar.</t>
  </si>
  <si>
    <t>290 kcal, 6g proteína, 2,8mg ferro, 95mg cálcio, 1,2mg zinco</t>
  </si>
  <si>
    <t>Óleo de palma natural tem betacaroteno e ferro.</t>
  </si>
  <si>
    <t>Sweet Nsima Vegano com Coco e Gergelim</t>
  </si>
  <si>
    <t>Doce de milho com leite de coco e sementes.</t>
  </si>
  <si>
    <t>Farinha de milho, leite de coco, gergelim, açúcar mascavo.</t>
  </si>
  <si>
    <t>250 kcal, 5g proteína, 2,4mg ferro, 100mg cálcio, 1,2mg zinco</t>
  </si>
  <si>
    <t>Gergelim é excelente fonte de cálcio e zinco.</t>
  </si>
  <si>
    <t>Mahangu Doce Vegano (Milhete com Tâmara)</t>
  </si>
  <si>
    <t>Papa doce com tâmaras e coco.</t>
  </si>
  <si>
    <t>Milhete, tâmaras, leite de coco, canela.</t>
  </si>
  <si>
    <t>240 kcal, 5g proteína, 2,3mg ferro, 85mg cálcio, 1mg zinco</t>
  </si>
  <si>
    <t>Tâmaras enriquecem com ferro biodisponível.</t>
  </si>
  <si>
    <t>Dambou Doce Vegano</t>
  </si>
  <si>
    <t>Papa doce de milhete com açúcar e frutas secas.</t>
  </si>
  <si>
    <t>Milhete, açúcar de coco, passas, leite vegetal.</t>
  </si>
  <si>
    <t>Cozinhe até firme e sirva morno.</t>
  </si>
  <si>
    <t>230 kcal, 4g proteína, 2,1mg ferro, 70mg cálcio, 0,8mg zinco</t>
  </si>
  <si>
    <t>Passas aumentam ferro e antioxidantes.</t>
  </si>
  <si>
    <t>Ubugari Doce Vegano com Banana e Coco</t>
  </si>
  <si>
    <t>Doce cremoso servido em festas.</t>
  </si>
  <si>
    <t>Mandioca, banana, coco, açúcar mascavo.</t>
  </si>
  <si>
    <t>260 kcal, 5g proteína, 2,4mg ferro, 90mg cálcio, 0,9mg zinco</t>
  </si>
  <si>
    <t>Coco e banana fornecem ferro e energia natural.</t>
  </si>
  <si>
    <t>Kanja Doce Vegano com Amendoim e Coco</t>
  </si>
  <si>
    <t>Creme de amendoim e coco servido quente.</t>
  </si>
  <si>
    <t>Amendoim, coco ralado, açúcar mascavo, leite vegetal.</t>
  </si>
  <si>
    <t>270 kcal, 7g proteína, 2,5mg ferro, 85mg cálcio, 1mg zinco</t>
  </si>
  <si>
    <t>Amendoim fornece proteína e ferro biodisponível.</t>
  </si>
  <si>
    <t>Halwa de Milho Vegana</t>
  </si>
  <si>
    <t>Doce de milho, açúcar e especiarias.</t>
  </si>
  <si>
    <t>Farinha de milho, cardamomo, açúcar de coco, óleo vegetal.</t>
  </si>
  <si>
    <t>Cozinhe até engrossar e firmar.</t>
  </si>
  <si>
    <t>250 kcal, 5g proteína, 2,3mg ferro, 70mg cálcio, 0,8mg zinco</t>
  </si>
  <si>
    <t>Cardamomo melhora digestão e absorção de ferro.</t>
  </si>
  <si>
    <t>Basbousa de Dátil Vegana</t>
  </si>
  <si>
    <t>Doce de sêmola e tâmaras.</t>
  </si>
  <si>
    <t>Sêmola, tâmaras, leite vegetal, açúcar mascavo.</t>
  </si>
  <si>
    <t>Bata, asse e regue com calda.</t>
  </si>
  <si>
    <t>260 kcal, 6g proteína, 2,5mg ferro, 90mg cálcio, 1mg zinco</t>
  </si>
  <si>
    <t>Tâmaras são ideais para ferro e energia.</t>
  </si>
  <si>
    <t>Kisra Doce Vegana</t>
  </si>
  <si>
    <t>Crepe de sorgo com calda doce.</t>
  </si>
  <si>
    <t>Farinha de sorgo, açúcar, leite vegetal, baunilha.</t>
  </si>
  <si>
    <t>Cozinhe e sirva com calda quente.</t>
  </si>
  <si>
    <t>240 kcal, 5g proteína, 2,2mg ferro, 80mg cálcio, 0,9mg zinco</t>
  </si>
  <si>
    <t>Sorgo é cereal africano rico em ferro e zinco.</t>
  </si>
  <si>
    <t>Tjovo Doce Vegano (Pudim de Amendoim e Milho)</t>
  </si>
  <si>
    <t>Doce festivo de milho e amendoim.</t>
  </si>
  <si>
    <t>Farinha de milho, amendoim, açúcar mascavo, leite vegetal.</t>
  </si>
  <si>
    <t>Cozinhe até firme.</t>
  </si>
  <si>
    <t>250 kcal, 6g proteína, 2,3mg ferro, 90mg cálcio, 1mg zinco</t>
  </si>
  <si>
    <t>Adicione gergelim para mais cálcio e sabor.</t>
  </si>
  <si>
    <t>Pine Tart Vegano</t>
  </si>
  <si>
    <t>Torta de abacaxi doce tradicional.</t>
  </si>
  <si>
    <t>Abacaxi, farinha integral, açúcar de coco, óleo vegetal.</t>
  </si>
  <si>
    <t>240 kcal, 4g proteína, 2mg ferro, 70mg cálcio, 0,8mg zinco</t>
  </si>
  <si>
    <t>Abacaxi fornece vitamina C que ajuda a absorver ferro.</t>
  </si>
  <si>
    <t>Bolo de Cassava Vegano</t>
  </si>
  <si>
    <t>Doce úmido de mandioca e coco.</t>
  </si>
  <si>
    <t>Mandioca ralada, coco, açúcar mascavo, canela.</t>
  </si>
  <si>
    <t>250 kcal, 4g proteína, 2,2mg ferro, 85mg cálcio, 0,8mg zinco</t>
  </si>
  <si>
    <t>Mandioca e coco oferecem cálcio e energia natural.</t>
  </si>
  <si>
    <t>Vakalolo Vegano</t>
  </si>
  <si>
    <t>Bolo doce de tapioca e coco cozido no vapor.</t>
  </si>
  <si>
    <t>Tapioca, coco ralado, açúcar mascavo, baunilha.</t>
  </si>
  <si>
    <t>Cozinhe no vapor até firme.</t>
  </si>
  <si>
    <t>260 kcal, 5g proteína, 2,4mg ferro, 90mg cálcio, 1mg zinco</t>
  </si>
  <si>
    <t>Coco fresco aumenta ferro e zinco.</t>
  </si>
  <si>
    <t>Pudim de Pão de Coco Vegano</t>
  </si>
  <si>
    <t>Doce úmido feito com pão amanhecido.</t>
  </si>
  <si>
    <t>Pão integral, leite de coco, açúcar mascavo, canela.</t>
  </si>
  <si>
    <t>230 kcal, 5g proteína, 2,1mg ferro, 80mg cálcio, 0,9mg zinco</t>
  </si>
  <si>
    <t>Use pão integral para mais ferro e fibras.</t>
  </si>
  <si>
    <t>Kiribati</t>
  </si>
  <si>
    <t>Kiribati Pudding Vegano</t>
  </si>
  <si>
    <t>Pudim de arroz e banana.</t>
  </si>
  <si>
    <t>Arroz, banana, leite de coco, açúcar mascavo.</t>
  </si>
  <si>
    <t>240 kcal, 4g proteína, 2,2mg ferro, 85mg cálcio, 0,8mg zinco</t>
  </si>
  <si>
    <t>Banana é fonte de energia e ajuda na digestão.</t>
  </si>
  <si>
    <t>Coconut Fudge Vegano</t>
  </si>
  <si>
    <t>Doce denso de coco e açúcar de palma.</t>
  </si>
  <si>
    <t>Coco ralado, açúcar de palma, baunilha, leite vegetal.</t>
  </si>
  <si>
    <t>260 kcal, 3g proteína, 2,3mg ferro, 80mg cálcio, 0,9mg zinco</t>
  </si>
  <si>
    <t>Açúcar de palma contém ferro natural e potássio.</t>
  </si>
  <si>
    <t>Puligi Vegano com Frutas Tropicais</t>
  </si>
  <si>
    <t>Bolo cozido no vapor com frutas.</t>
  </si>
  <si>
    <t>Farinha integral, frutas tropicais, coco, açúcar demerara.</t>
  </si>
  <si>
    <t>270 kcal, 5g proteína, 2,5mg ferro, 85mg cálcio, 1mg zinco</t>
  </si>
  <si>
    <t>Frutas tropicais adicionam ferro e vitamina C.</t>
  </si>
  <si>
    <t>Tarosi Vegano (Doce de Taro e Coco)</t>
  </si>
  <si>
    <t>Purê doce de taro com leite de coco.</t>
  </si>
  <si>
    <t>Taro, leite de coco, açúcar mascavo, baunilha.</t>
  </si>
  <si>
    <t>250 kcal, 4g proteína, 2,2mg ferro, 90mg cálcio, 0,8mg zinco</t>
  </si>
  <si>
    <t>Taro fornece ferro e energia de liberação lenta.</t>
  </si>
  <si>
    <t>Ilhas Marshall</t>
  </si>
  <si>
    <t>Coconut Cream Pie Vegana</t>
  </si>
  <si>
    <t>Torta cremosa com leite de coco e baunilha.</t>
  </si>
  <si>
    <t>Leite de coco, amido de milho, açúcar, baunilha, massa integral.</t>
  </si>
  <si>
    <t>Asse e resfrie antes de servir.</t>
  </si>
  <si>
    <t>260 kcal, 5g proteína, 2,3mg ferro, 80mg cálcio, 0,9mg zinco</t>
  </si>
  <si>
    <t>Coco é ótimo para ferro e textura aveludada.</t>
  </si>
  <si>
    <t>Kakana Vegano (Bolo de Banana e Taro)</t>
  </si>
  <si>
    <t>Bolo tradicional de raiz e fruta.</t>
  </si>
  <si>
    <t>Taro, banana, leite de coco, açúcar mascavo.</t>
  </si>
  <si>
    <t>270 kcal, 5g proteína, 2,5mg ferro, 90mg cálcio, 1mg zinco</t>
  </si>
  <si>
    <t>Taro e banana formam uma dupla rica em minerais.</t>
  </si>
  <si>
    <t>Bolo de Arroz Doce Vegano</t>
  </si>
  <si>
    <t>Doce simples de arroz e coco.</t>
  </si>
  <si>
    <t>Arroz, leite de coco, açúcar mascavo, canela.</t>
  </si>
  <si>
    <t>230 kcal, 4g proteína, 2mg ferro, 80mg cálcio, 0,8mg zinco</t>
  </si>
  <si>
    <t>Cozinhar devagar libera o amido e melhora absorção de ferro.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</si>
</sst>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u/>
      <color rgb="FF1155CC"/>
      <name val="Arial"/>
    </font>
    <font>
      <color theme="1"/>
      <name val="Arial"/>
    </font>
    <font>
      <u/>
      <color rgb="FF0000FF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vertical="bottom"/>
    </xf>
    <xf borderId="0" fillId="2" fontId="1" numFmtId="0" xfId="0" applyAlignment="1" applyFill="1" applyFont="1">
      <alignment readingOrder="0" shrinkToFit="0" wrapText="1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horizontal="center" readingOrder="0"/>
    </xf>
    <xf borderId="0" fillId="0" fontId="1" numFmtId="0" xfId="0" applyFont="1"/>
    <xf borderId="0" fillId="0" fontId="6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lagcdn.com/w320/cn.png" TargetMode="External"/><Relationship Id="rId42" Type="http://schemas.openxmlformats.org/officeDocument/2006/relationships/hyperlink" Target="https://flagcdn.com/w320/sg.png" TargetMode="External"/><Relationship Id="rId41" Type="http://schemas.openxmlformats.org/officeDocument/2006/relationships/hyperlink" Target="https://flagcdn.com/w320/cy.png" TargetMode="External"/><Relationship Id="rId44" Type="http://schemas.openxmlformats.org/officeDocument/2006/relationships/hyperlink" Target="https://flagcdn.com/w320/km.png" TargetMode="External"/><Relationship Id="rId43" Type="http://schemas.openxmlformats.org/officeDocument/2006/relationships/hyperlink" Target="https://flagcdn.com/w320/co.png" TargetMode="External"/><Relationship Id="rId46" Type="http://schemas.openxmlformats.org/officeDocument/2006/relationships/hyperlink" Target="https://flagcdn.com/w320/cd.png" TargetMode="External"/><Relationship Id="rId45" Type="http://schemas.openxmlformats.org/officeDocument/2006/relationships/hyperlink" Target="https://flagcdn.com/w320/cg.png" TargetMode="External"/><Relationship Id="rId107" Type="http://schemas.openxmlformats.org/officeDocument/2006/relationships/hyperlink" Target="https://flagcdn.com/w320/fm.png" TargetMode="External"/><Relationship Id="rId106" Type="http://schemas.openxmlformats.org/officeDocument/2006/relationships/hyperlink" Target="https://flagcdn.com/w320/mx.png" TargetMode="External"/><Relationship Id="rId105" Type="http://schemas.openxmlformats.org/officeDocument/2006/relationships/hyperlink" Target="https://flagcdn.com/w320/mr.png" TargetMode="External"/><Relationship Id="rId104" Type="http://schemas.openxmlformats.org/officeDocument/2006/relationships/hyperlink" Target="https://flagcdn.com/w320/mu.png" TargetMode="External"/><Relationship Id="rId109" Type="http://schemas.openxmlformats.org/officeDocument/2006/relationships/hyperlink" Target="https://flagcdn.com/w320/md.png" TargetMode="External"/><Relationship Id="rId108" Type="http://schemas.openxmlformats.org/officeDocument/2006/relationships/hyperlink" Target="https://flagcdn.com/w320/mz.png" TargetMode="External"/><Relationship Id="rId48" Type="http://schemas.openxmlformats.org/officeDocument/2006/relationships/hyperlink" Target="https://flagcdn.com/w320/kr.png" TargetMode="External"/><Relationship Id="rId47" Type="http://schemas.openxmlformats.org/officeDocument/2006/relationships/hyperlink" Target="https://flagcdn.com/w320/kp.png" TargetMode="External"/><Relationship Id="rId49" Type="http://schemas.openxmlformats.org/officeDocument/2006/relationships/hyperlink" Target="https://flagcdn.com/w320/ci.png" TargetMode="External"/><Relationship Id="rId103" Type="http://schemas.openxmlformats.org/officeDocument/2006/relationships/hyperlink" Target="https://flagcdn.com/w320/ma.png" TargetMode="External"/><Relationship Id="rId102" Type="http://schemas.openxmlformats.org/officeDocument/2006/relationships/hyperlink" Target="https://flagcdn.com/w320/mt.png" TargetMode="External"/><Relationship Id="rId101" Type="http://schemas.openxmlformats.org/officeDocument/2006/relationships/hyperlink" Target="https://flagcdn.com/w320/ml.png" TargetMode="External"/><Relationship Id="rId100" Type="http://schemas.openxmlformats.org/officeDocument/2006/relationships/hyperlink" Target="https://flagcdn.com/w320/mv.png" TargetMode="External"/><Relationship Id="rId31" Type="http://schemas.openxmlformats.org/officeDocument/2006/relationships/hyperlink" Target="https://flagcdn.com/w320/bi.png" TargetMode="External"/><Relationship Id="rId30" Type="http://schemas.openxmlformats.org/officeDocument/2006/relationships/hyperlink" Target="https://flagcdn.com/w320/bf.png" TargetMode="External"/><Relationship Id="rId33" Type="http://schemas.openxmlformats.org/officeDocument/2006/relationships/hyperlink" Target="https://flagcdn.com/w320/kh.png" TargetMode="External"/><Relationship Id="rId32" Type="http://schemas.openxmlformats.org/officeDocument/2006/relationships/hyperlink" Target="https://flagcdn.com/w320/cv.png" TargetMode="External"/><Relationship Id="rId35" Type="http://schemas.openxmlformats.org/officeDocument/2006/relationships/hyperlink" Target="https://flagcdn.com/w320/ca.png" TargetMode="External"/><Relationship Id="rId34" Type="http://schemas.openxmlformats.org/officeDocument/2006/relationships/hyperlink" Target="https://flagcdn.com/w320/cm.png" TargetMode="External"/><Relationship Id="rId37" Type="http://schemas.openxmlformats.org/officeDocument/2006/relationships/hyperlink" Target="https://flagcdn.com/w320/kz.png" TargetMode="External"/><Relationship Id="rId36" Type="http://schemas.openxmlformats.org/officeDocument/2006/relationships/hyperlink" Target="https://flagcdn.com/w320/qa.png" TargetMode="External"/><Relationship Id="rId39" Type="http://schemas.openxmlformats.org/officeDocument/2006/relationships/hyperlink" Target="https://flagcdn.com/w320/cl.png" TargetMode="External"/><Relationship Id="rId38" Type="http://schemas.openxmlformats.org/officeDocument/2006/relationships/hyperlink" Target="https://flagcdn.com/w320/td.png" TargetMode="External"/><Relationship Id="rId20" Type="http://schemas.openxmlformats.org/officeDocument/2006/relationships/hyperlink" Target="https://flagcdn.com/w320/be.png" TargetMode="External"/><Relationship Id="rId22" Type="http://schemas.openxmlformats.org/officeDocument/2006/relationships/hyperlink" Target="https://flagcdn.com/w320/bj.png" TargetMode="External"/><Relationship Id="rId21" Type="http://schemas.openxmlformats.org/officeDocument/2006/relationships/hyperlink" Target="https://flagcdn.com/w320/bz.png" TargetMode="External"/><Relationship Id="rId24" Type="http://schemas.openxmlformats.org/officeDocument/2006/relationships/hyperlink" Target="https://flagcdn.com/w320/bo.png" TargetMode="External"/><Relationship Id="rId23" Type="http://schemas.openxmlformats.org/officeDocument/2006/relationships/hyperlink" Target="https://flagcdn.com/w320/bt.png" TargetMode="External"/><Relationship Id="rId129" Type="http://schemas.openxmlformats.org/officeDocument/2006/relationships/hyperlink" Target="https://flagcdn.com/w320/ph.png" TargetMode="External"/><Relationship Id="rId128" Type="http://schemas.openxmlformats.org/officeDocument/2006/relationships/hyperlink" Target="https://flagcdn.com/w320/pe.png" TargetMode="External"/><Relationship Id="rId127" Type="http://schemas.openxmlformats.org/officeDocument/2006/relationships/hyperlink" Target="https://flagcdn.com/w320/py.png" TargetMode="External"/><Relationship Id="rId126" Type="http://schemas.openxmlformats.org/officeDocument/2006/relationships/hyperlink" Target="https://flagcdn.com/w320/pg.png" TargetMode="External"/><Relationship Id="rId26" Type="http://schemas.openxmlformats.org/officeDocument/2006/relationships/hyperlink" Target="https://flagcdn.com/w320/bw.png" TargetMode="External"/><Relationship Id="rId121" Type="http://schemas.openxmlformats.org/officeDocument/2006/relationships/hyperlink" Target="https://flagcdn.com/w320/nz.png" TargetMode="External"/><Relationship Id="rId25" Type="http://schemas.openxmlformats.org/officeDocument/2006/relationships/hyperlink" Target="https://flagcdn.com/w320/ba.png" TargetMode="External"/><Relationship Id="rId120" Type="http://schemas.openxmlformats.org/officeDocument/2006/relationships/hyperlink" Target="https://flagcdn.com/w320/no.png" TargetMode="External"/><Relationship Id="rId28" Type="http://schemas.openxmlformats.org/officeDocument/2006/relationships/hyperlink" Target="https://flagcdn.com/w320/bn.png" TargetMode="External"/><Relationship Id="rId27" Type="http://schemas.openxmlformats.org/officeDocument/2006/relationships/hyperlink" Target="https://flagcdn.com/w320/br.png" TargetMode="External"/><Relationship Id="rId125" Type="http://schemas.openxmlformats.org/officeDocument/2006/relationships/hyperlink" Target="https://flagcdn.com/w320/pa.png" TargetMode="External"/><Relationship Id="rId29" Type="http://schemas.openxmlformats.org/officeDocument/2006/relationships/hyperlink" Target="https://flagcdn.com/w320/bg.png" TargetMode="External"/><Relationship Id="rId124" Type="http://schemas.openxmlformats.org/officeDocument/2006/relationships/hyperlink" Target="https://flagcdn.com/w320/pw.png" TargetMode="External"/><Relationship Id="rId123" Type="http://schemas.openxmlformats.org/officeDocument/2006/relationships/hyperlink" Target="https://flagcdn.com/w320/pk.png" TargetMode="External"/><Relationship Id="rId122" Type="http://schemas.openxmlformats.org/officeDocument/2006/relationships/hyperlink" Target="https://flagcdn.com/w320/om.png" TargetMode="External"/><Relationship Id="rId95" Type="http://schemas.openxmlformats.org/officeDocument/2006/relationships/hyperlink" Target="https://flagcdn.com/w320/lt.png" TargetMode="External"/><Relationship Id="rId94" Type="http://schemas.openxmlformats.org/officeDocument/2006/relationships/hyperlink" Target="https://flagcdn.com/w320/li.png" TargetMode="External"/><Relationship Id="rId97" Type="http://schemas.openxmlformats.org/officeDocument/2006/relationships/hyperlink" Target="https://flagcdn.com/w320/mg.png" TargetMode="External"/><Relationship Id="rId96" Type="http://schemas.openxmlformats.org/officeDocument/2006/relationships/hyperlink" Target="https://flagcdn.com/w320/lu.png" TargetMode="External"/><Relationship Id="rId11" Type="http://schemas.openxmlformats.org/officeDocument/2006/relationships/hyperlink" Target="https://flagcdn.com/w320/am.png" TargetMode="External"/><Relationship Id="rId99" Type="http://schemas.openxmlformats.org/officeDocument/2006/relationships/hyperlink" Target="https://flagcdn.com/w320/my.png" TargetMode="External"/><Relationship Id="rId10" Type="http://schemas.openxmlformats.org/officeDocument/2006/relationships/hyperlink" Target="https://flagcdn.com/w320/ar.png" TargetMode="External"/><Relationship Id="rId98" Type="http://schemas.openxmlformats.org/officeDocument/2006/relationships/hyperlink" Target="https://flagcdn.com/w320/mw.png" TargetMode="External"/><Relationship Id="rId13" Type="http://schemas.openxmlformats.org/officeDocument/2006/relationships/hyperlink" Target="https://flagcdn.com/w320/at.png" TargetMode="External"/><Relationship Id="rId12" Type="http://schemas.openxmlformats.org/officeDocument/2006/relationships/hyperlink" Target="https://flagcdn.com/w320/au.png" TargetMode="External"/><Relationship Id="rId91" Type="http://schemas.openxmlformats.org/officeDocument/2006/relationships/hyperlink" Target="https://flagcdn.com/w320/lb.png" TargetMode="External"/><Relationship Id="rId90" Type="http://schemas.openxmlformats.org/officeDocument/2006/relationships/hyperlink" Target="https://flagcdn.com/w320/lv.png" TargetMode="External"/><Relationship Id="rId93" Type="http://schemas.openxmlformats.org/officeDocument/2006/relationships/hyperlink" Target="https://flagcdn.com/w320/ly.png" TargetMode="External"/><Relationship Id="rId92" Type="http://schemas.openxmlformats.org/officeDocument/2006/relationships/hyperlink" Target="https://flagcdn.com/w320/lr.png" TargetMode="External"/><Relationship Id="rId118" Type="http://schemas.openxmlformats.org/officeDocument/2006/relationships/hyperlink" Target="https://flagcdn.com/w320/ne.png" TargetMode="External"/><Relationship Id="rId117" Type="http://schemas.openxmlformats.org/officeDocument/2006/relationships/hyperlink" Target="https://flagcdn.com/w320/ni.png" TargetMode="External"/><Relationship Id="rId116" Type="http://schemas.openxmlformats.org/officeDocument/2006/relationships/hyperlink" Target="https://flagcdn.com/w320/np.png" TargetMode="External"/><Relationship Id="rId115" Type="http://schemas.openxmlformats.org/officeDocument/2006/relationships/hyperlink" Target="https://flagcdn.com/w320/nr.png" TargetMode="External"/><Relationship Id="rId119" Type="http://schemas.openxmlformats.org/officeDocument/2006/relationships/hyperlink" Target="https://flagcdn.com/w320/ng.png" TargetMode="External"/><Relationship Id="rId15" Type="http://schemas.openxmlformats.org/officeDocument/2006/relationships/hyperlink" Target="https://flagcdn.com/w320/bs.png" TargetMode="External"/><Relationship Id="rId110" Type="http://schemas.openxmlformats.org/officeDocument/2006/relationships/hyperlink" Target="https://flagcdn.com/w320/mc.png" TargetMode="External"/><Relationship Id="rId14" Type="http://schemas.openxmlformats.org/officeDocument/2006/relationships/hyperlink" Target="https://flagcdn.com/w320/az.png" TargetMode="External"/><Relationship Id="rId17" Type="http://schemas.openxmlformats.org/officeDocument/2006/relationships/hyperlink" Target="https://flagcdn.com/w320/bd.png" TargetMode="External"/><Relationship Id="rId16" Type="http://schemas.openxmlformats.org/officeDocument/2006/relationships/hyperlink" Target="https://flagcdn.com/w320/bh.png" TargetMode="External"/><Relationship Id="rId19" Type="http://schemas.openxmlformats.org/officeDocument/2006/relationships/hyperlink" Target="https://flagcdn.com/w320/by.png" TargetMode="External"/><Relationship Id="rId114" Type="http://schemas.openxmlformats.org/officeDocument/2006/relationships/hyperlink" Target="https://flagcdn.com/w320/na.png" TargetMode="External"/><Relationship Id="rId18" Type="http://schemas.openxmlformats.org/officeDocument/2006/relationships/hyperlink" Target="https://flagcdn.com/w320/bb.png" TargetMode="External"/><Relationship Id="rId113" Type="http://schemas.openxmlformats.org/officeDocument/2006/relationships/hyperlink" Target="https://flagcdn.com/w320/mm.png" TargetMode="External"/><Relationship Id="rId112" Type="http://schemas.openxmlformats.org/officeDocument/2006/relationships/hyperlink" Target="https://flagcdn.com/w320/me.png" TargetMode="External"/><Relationship Id="rId111" Type="http://schemas.openxmlformats.org/officeDocument/2006/relationships/hyperlink" Target="https://flagcdn.com/w320/mn.png" TargetMode="External"/><Relationship Id="rId84" Type="http://schemas.openxmlformats.org/officeDocument/2006/relationships/hyperlink" Target="https://flagcdn.com/w320/jp.png" TargetMode="External"/><Relationship Id="rId83" Type="http://schemas.openxmlformats.org/officeDocument/2006/relationships/hyperlink" Target="https://flagcdn.com/w320/it.png" TargetMode="External"/><Relationship Id="rId86" Type="http://schemas.openxmlformats.org/officeDocument/2006/relationships/hyperlink" Target="https://flagcdn.com/w320/xk.png" TargetMode="External"/><Relationship Id="rId85" Type="http://schemas.openxmlformats.org/officeDocument/2006/relationships/hyperlink" Target="https://flagcdn.com/w320/jo.png" TargetMode="External"/><Relationship Id="rId88" Type="http://schemas.openxmlformats.org/officeDocument/2006/relationships/hyperlink" Target="https://flagcdn.com/w320/la.png" TargetMode="External"/><Relationship Id="rId150" Type="http://schemas.openxmlformats.org/officeDocument/2006/relationships/hyperlink" Target="https://flagcdn.com/w320/sr.png" TargetMode="External"/><Relationship Id="rId87" Type="http://schemas.openxmlformats.org/officeDocument/2006/relationships/hyperlink" Target="https://flagcdn.com/w320/kw.png" TargetMode="External"/><Relationship Id="rId89" Type="http://schemas.openxmlformats.org/officeDocument/2006/relationships/hyperlink" Target="https://flagcdn.com/w320/ls.png" TargetMode="External"/><Relationship Id="rId80" Type="http://schemas.openxmlformats.org/officeDocument/2006/relationships/hyperlink" Target="https://flagcdn.com/w320/iq.png" TargetMode="External"/><Relationship Id="rId82" Type="http://schemas.openxmlformats.org/officeDocument/2006/relationships/hyperlink" Target="https://flagcdn.com/w320/il.png" TargetMode="External"/><Relationship Id="rId81" Type="http://schemas.openxmlformats.org/officeDocument/2006/relationships/hyperlink" Target="https://flagcdn.com/w320/ie.png" TargetMode="External"/><Relationship Id="rId1" Type="http://schemas.openxmlformats.org/officeDocument/2006/relationships/hyperlink" Target="https://flagcdn.com/w320/af.png" TargetMode="External"/><Relationship Id="rId2" Type="http://schemas.openxmlformats.org/officeDocument/2006/relationships/hyperlink" Target="https://flagcdn.com/w320/za.png" TargetMode="External"/><Relationship Id="rId3" Type="http://schemas.openxmlformats.org/officeDocument/2006/relationships/hyperlink" Target="https://flagcdn.com/w320/al.png" TargetMode="External"/><Relationship Id="rId149" Type="http://schemas.openxmlformats.org/officeDocument/2006/relationships/hyperlink" Target="https://flagcdn.com/w320/ch.png" TargetMode="External"/><Relationship Id="rId4" Type="http://schemas.openxmlformats.org/officeDocument/2006/relationships/hyperlink" Target="https://flagcdn.com/w320/de.png" TargetMode="External"/><Relationship Id="rId148" Type="http://schemas.openxmlformats.org/officeDocument/2006/relationships/hyperlink" Target="https://flagcdn.com/w320/se.png" TargetMode="External"/><Relationship Id="rId9" Type="http://schemas.openxmlformats.org/officeDocument/2006/relationships/hyperlink" Target="https://flagcdn.com/w320/dz.png" TargetMode="External"/><Relationship Id="rId143" Type="http://schemas.openxmlformats.org/officeDocument/2006/relationships/hyperlink" Target="https://flagcdn.com/w320/vc.png" TargetMode="External"/><Relationship Id="rId142" Type="http://schemas.openxmlformats.org/officeDocument/2006/relationships/hyperlink" Target="https://flagcdn.com/w320/st.png" TargetMode="External"/><Relationship Id="rId141" Type="http://schemas.openxmlformats.org/officeDocument/2006/relationships/hyperlink" Target="https://flagcdn.com/w320/kn.png" TargetMode="External"/><Relationship Id="rId140" Type="http://schemas.openxmlformats.org/officeDocument/2006/relationships/hyperlink" Target="https://flagcdn.com/w320/rw.png" TargetMode="External"/><Relationship Id="rId5" Type="http://schemas.openxmlformats.org/officeDocument/2006/relationships/hyperlink" Target="https://flagcdn.com/w320/ad.png" TargetMode="External"/><Relationship Id="rId147" Type="http://schemas.openxmlformats.org/officeDocument/2006/relationships/hyperlink" Target="https://flagcdn.com/w320/sg.png" TargetMode="External"/><Relationship Id="rId6" Type="http://schemas.openxmlformats.org/officeDocument/2006/relationships/hyperlink" Target="https://flagcdn.com/w320/ao.png" TargetMode="External"/><Relationship Id="rId146" Type="http://schemas.openxmlformats.org/officeDocument/2006/relationships/hyperlink" Target="https://flagcdn.com/w320/sc.png" TargetMode="External"/><Relationship Id="rId7" Type="http://schemas.openxmlformats.org/officeDocument/2006/relationships/hyperlink" Target="https://flagcdn.com/w320/ag.png" TargetMode="External"/><Relationship Id="rId145" Type="http://schemas.openxmlformats.org/officeDocument/2006/relationships/hyperlink" Target="https://flagcdn.com/w320/rs.png" TargetMode="External"/><Relationship Id="rId8" Type="http://schemas.openxmlformats.org/officeDocument/2006/relationships/hyperlink" Target="https://flagcdn.com/w320/sa.png" TargetMode="External"/><Relationship Id="rId144" Type="http://schemas.openxmlformats.org/officeDocument/2006/relationships/hyperlink" Target="https://flagcdn.com/w320/sn.png" TargetMode="External"/><Relationship Id="rId73" Type="http://schemas.openxmlformats.org/officeDocument/2006/relationships/hyperlink" Target="https://flagcdn.com/w320/ht.png" TargetMode="External"/><Relationship Id="rId72" Type="http://schemas.openxmlformats.org/officeDocument/2006/relationships/hyperlink" Target="https://flagcdn.com/w320/gy.png" TargetMode="External"/><Relationship Id="rId75" Type="http://schemas.openxmlformats.org/officeDocument/2006/relationships/hyperlink" Target="https://flagcdn.com/w320/hu.png" TargetMode="External"/><Relationship Id="rId74" Type="http://schemas.openxmlformats.org/officeDocument/2006/relationships/hyperlink" Target="https://flagcdn.com/w320/nl.png" TargetMode="External"/><Relationship Id="rId77" Type="http://schemas.openxmlformats.org/officeDocument/2006/relationships/hyperlink" Target="https://flagcdn.com/w320/in.png" TargetMode="External"/><Relationship Id="rId76" Type="http://schemas.openxmlformats.org/officeDocument/2006/relationships/hyperlink" Target="https://flagcdn.com/w320/is.png" TargetMode="External"/><Relationship Id="rId79" Type="http://schemas.openxmlformats.org/officeDocument/2006/relationships/hyperlink" Target="https://flagcdn.com/w320/ir.png" TargetMode="External"/><Relationship Id="rId78" Type="http://schemas.openxmlformats.org/officeDocument/2006/relationships/hyperlink" Target="https://flagcdn.com/w320/id.png" TargetMode="External"/><Relationship Id="rId71" Type="http://schemas.openxmlformats.org/officeDocument/2006/relationships/hyperlink" Target="https://flagcdn.com/w320/gq.png" TargetMode="External"/><Relationship Id="rId70" Type="http://schemas.openxmlformats.org/officeDocument/2006/relationships/hyperlink" Target="https://flagcdn.com/w320/gw.png" TargetMode="External"/><Relationship Id="rId139" Type="http://schemas.openxmlformats.org/officeDocument/2006/relationships/hyperlink" Target="https://flagcdn.com/w320/ru.png" TargetMode="External"/><Relationship Id="rId138" Type="http://schemas.openxmlformats.org/officeDocument/2006/relationships/hyperlink" Target="https://flagcdn.com/w320/ro.png" TargetMode="External"/><Relationship Id="rId137" Type="http://schemas.openxmlformats.org/officeDocument/2006/relationships/hyperlink" Target="https://flagcdn.com/w320/cd.png" TargetMode="External"/><Relationship Id="rId132" Type="http://schemas.openxmlformats.org/officeDocument/2006/relationships/hyperlink" Target="https://flagcdn.com/w320/qa.png" TargetMode="External"/><Relationship Id="rId131" Type="http://schemas.openxmlformats.org/officeDocument/2006/relationships/hyperlink" Target="https://flagcdn.com/w320/pt.png" TargetMode="External"/><Relationship Id="rId130" Type="http://schemas.openxmlformats.org/officeDocument/2006/relationships/hyperlink" Target="https://flagcdn.com/w320/pl.png" TargetMode="External"/><Relationship Id="rId136" Type="http://schemas.openxmlformats.org/officeDocument/2006/relationships/hyperlink" Target="https://flagcdn.com/w320/cf.png" TargetMode="External"/><Relationship Id="rId135" Type="http://schemas.openxmlformats.org/officeDocument/2006/relationships/hyperlink" Target="https://flagcdn.com/w320/gb.png" TargetMode="External"/><Relationship Id="rId134" Type="http://schemas.openxmlformats.org/officeDocument/2006/relationships/hyperlink" Target="https://flagcdn.com/w320/kg.png" TargetMode="External"/><Relationship Id="rId133" Type="http://schemas.openxmlformats.org/officeDocument/2006/relationships/hyperlink" Target="https://flagcdn.com/w320/ke.png" TargetMode="External"/><Relationship Id="rId62" Type="http://schemas.openxmlformats.org/officeDocument/2006/relationships/hyperlink" Target="https://flagcdn.com/w320/si.png" TargetMode="External"/><Relationship Id="rId61" Type="http://schemas.openxmlformats.org/officeDocument/2006/relationships/hyperlink" Target="https://flagcdn.com/w320/sk.png" TargetMode="External"/><Relationship Id="rId64" Type="http://schemas.openxmlformats.org/officeDocument/2006/relationships/hyperlink" Target="https://flagcdn.com/w320/us.png" TargetMode="External"/><Relationship Id="rId63" Type="http://schemas.openxmlformats.org/officeDocument/2006/relationships/hyperlink" Target="https://flagcdn.com/w320/es.png" TargetMode="External"/><Relationship Id="rId66" Type="http://schemas.openxmlformats.org/officeDocument/2006/relationships/hyperlink" Target="https://flagcdn.com/w320/et.png" TargetMode="External"/><Relationship Id="rId65" Type="http://schemas.openxmlformats.org/officeDocument/2006/relationships/hyperlink" Target="https://flagcdn.com/w320/ee.png" TargetMode="External"/><Relationship Id="rId68" Type="http://schemas.openxmlformats.org/officeDocument/2006/relationships/hyperlink" Target="https://flagcdn.com/w320/gt.png" TargetMode="External"/><Relationship Id="rId67" Type="http://schemas.openxmlformats.org/officeDocument/2006/relationships/hyperlink" Target="https://flagcdn.com/w320/gd.png" TargetMode="External"/><Relationship Id="rId60" Type="http://schemas.openxmlformats.org/officeDocument/2006/relationships/hyperlink" Target="https://flagcdn.com/w320/er.png" TargetMode="External"/><Relationship Id="rId69" Type="http://schemas.openxmlformats.org/officeDocument/2006/relationships/hyperlink" Target="https://flagcdn.com/w320/gn.png" TargetMode="External"/><Relationship Id="rId162" Type="http://schemas.openxmlformats.org/officeDocument/2006/relationships/drawing" Target="../drawings/drawing1.xml"/><Relationship Id="rId51" Type="http://schemas.openxmlformats.org/officeDocument/2006/relationships/hyperlink" Target="https://flagcdn.com/w320/hr.png" TargetMode="External"/><Relationship Id="rId50" Type="http://schemas.openxmlformats.org/officeDocument/2006/relationships/hyperlink" Target="https://flagcdn.com/w320/cr.png" TargetMode="External"/><Relationship Id="rId53" Type="http://schemas.openxmlformats.org/officeDocument/2006/relationships/hyperlink" Target="https://flagcdn.com/w320/dk.png" TargetMode="External"/><Relationship Id="rId52" Type="http://schemas.openxmlformats.org/officeDocument/2006/relationships/hyperlink" Target="https://flagcdn.com/w320/cu.png" TargetMode="External"/><Relationship Id="rId55" Type="http://schemas.openxmlformats.org/officeDocument/2006/relationships/hyperlink" Target="https://flagcdn.com/w320/dm.png" TargetMode="External"/><Relationship Id="rId161" Type="http://schemas.openxmlformats.org/officeDocument/2006/relationships/hyperlink" Target="https://flagcdn.com/w320/zw.png" TargetMode="External"/><Relationship Id="rId54" Type="http://schemas.openxmlformats.org/officeDocument/2006/relationships/hyperlink" Target="https://flagcdn.com/w320/dj.png" TargetMode="External"/><Relationship Id="rId160" Type="http://schemas.openxmlformats.org/officeDocument/2006/relationships/hyperlink" Target="https://flagcdn.com/w320/zm.png" TargetMode="External"/><Relationship Id="rId57" Type="http://schemas.openxmlformats.org/officeDocument/2006/relationships/hyperlink" Target="https://flagcdn.com/w320/sv.png" TargetMode="External"/><Relationship Id="rId56" Type="http://schemas.openxmlformats.org/officeDocument/2006/relationships/hyperlink" Target="https://flagcdn.com/w320/eg.png" TargetMode="External"/><Relationship Id="rId159" Type="http://schemas.openxmlformats.org/officeDocument/2006/relationships/hyperlink" Target="https://flagcdn.com/w320/vn.png" TargetMode="External"/><Relationship Id="rId59" Type="http://schemas.openxmlformats.org/officeDocument/2006/relationships/hyperlink" Target="https://flagcdn.com/w320/ec.png" TargetMode="External"/><Relationship Id="rId154" Type="http://schemas.openxmlformats.org/officeDocument/2006/relationships/hyperlink" Target="https://flagcdn.com/w320/tg.png" TargetMode="External"/><Relationship Id="rId58" Type="http://schemas.openxmlformats.org/officeDocument/2006/relationships/hyperlink" Target="https://flagcdn.com/w320/ae.png" TargetMode="External"/><Relationship Id="rId153" Type="http://schemas.openxmlformats.org/officeDocument/2006/relationships/hyperlink" Target="https://flagcdn.com/w320/tz.png" TargetMode="External"/><Relationship Id="rId152" Type="http://schemas.openxmlformats.org/officeDocument/2006/relationships/hyperlink" Target="https://flagcdn.com/w320/th.png" TargetMode="External"/><Relationship Id="rId151" Type="http://schemas.openxmlformats.org/officeDocument/2006/relationships/hyperlink" Target="https://flagcdn.com/w320/sy.png" TargetMode="External"/><Relationship Id="rId158" Type="http://schemas.openxmlformats.org/officeDocument/2006/relationships/hyperlink" Target="https://flagcdn.com/w320/uy.png" TargetMode="External"/><Relationship Id="rId157" Type="http://schemas.openxmlformats.org/officeDocument/2006/relationships/hyperlink" Target="https://flagcdn.com/w320/ua.png" TargetMode="External"/><Relationship Id="rId156" Type="http://schemas.openxmlformats.org/officeDocument/2006/relationships/hyperlink" Target="https://flagcdn.com/w320/tr.png" TargetMode="External"/><Relationship Id="rId155" Type="http://schemas.openxmlformats.org/officeDocument/2006/relationships/hyperlink" Target="https://flagcdn.com/w320/tn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88"/>
    <col customWidth="1" min="3" max="3" width="25.25"/>
    <col customWidth="1" min="4" max="4" width="26.88"/>
    <col customWidth="1" min="5" max="5" width="42.13"/>
    <col customWidth="1" min="6" max="6" width="45.38"/>
    <col customWidth="1" min="7" max="7" width="21.13"/>
    <col customWidth="1" min="8" max="8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3"/>
      <c r="B2" s="3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4" t="s">
        <v>19</v>
      </c>
    </row>
    <row r="3">
      <c r="A3" s="3"/>
      <c r="B3" s="3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4" t="s">
        <v>28</v>
      </c>
    </row>
    <row r="4">
      <c r="A4" s="3"/>
      <c r="B4" s="3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4" t="s">
        <v>37</v>
      </c>
    </row>
    <row r="5">
      <c r="A5" s="3"/>
      <c r="B5" s="3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4" t="s">
        <v>46</v>
      </c>
    </row>
    <row r="6">
      <c r="A6" s="3"/>
      <c r="B6" s="3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4" t="s">
        <v>55</v>
      </c>
    </row>
    <row r="7">
      <c r="A7" s="3"/>
      <c r="B7" s="3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4" t="s">
        <v>64</v>
      </c>
    </row>
    <row r="8">
      <c r="A8" s="3"/>
      <c r="B8" s="3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72</v>
      </c>
      <c r="J8" s="4" t="s">
        <v>73</v>
      </c>
    </row>
    <row r="9">
      <c r="A9" s="3"/>
      <c r="B9" s="3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  <c r="J9" s="4" t="s">
        <v>82</v>
      </c>
    </row>
    <row r="10">
      <c r="A10" s="3"/>
      <c r="B10" s="3" t="s">
        <v>83</v>
      </c>
      <c r="C10" s="1" t="s">
        <v>84</v>
      </c>
      <c r="D10" s="1" t="s">
        <v>85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90</v>
      </c>
      <c r="J10" s="4" t="s">
        <v>91</v>
      </c>
    </row>
    <row r="11">
      <c r="A11" s="3"/>
      <c r="B11" s="3" t="s">
        <v>92</v>
      </c>
      <c r="C11" s="1" t="s">
        <v>93</v>
      </c>
      <c r="D11" s="1" t="s">
        <v>94</v>
      </c>
      <c r="E11" s="1" t="s">
        <v>95</v>
      </c>
      <c r="F11" s="1" t="s">
        <v>96</v>
      </c>
      <c r="G11" s="1" t="s">
        <v>97</v>
      </c>
      <c r="H11" s="1" t="s">
        <v>98</v>
      </c>
      <c r="I11" s="1" t="s">
        <v>99</v>
      </c>
      <c r="J11" s="4" t="s">
        <v>100</v>
      </c>
    </row>
    <row r="12">
      <c r="A12" s="3"/>
      <c r="B12" s="3" t="s">
        <v>101</v>
      </c>
      <c r="C12" s="1" t="s">
        <v>102</v>
      </c>
      <c r="D12" s="1" t="s">
        <v>103</v>
      </c>
      <c r="E12" s="1" t="s">
        <v>104</v>
      </c>
      <c r="F12" s="1" t="s">
        <v>105</v>
      </c>
      <c r="G12" s="1" t="s">
        <v>106</v>
      </c>
      <c r="H12" s="1" t="s">
        <v>107</v>
      </c>
      <c r="I12" s="1" t="s">
        <v>108</v>
      </c>
      <c r="J12" s="4" t="s">
        <v>109</v>
      </c>
    </row>
    <row r="13">
      <c r="A13" s="3"/>
      <c r="B13" s="3" t="s">
        <v>110</v>
      </c>
      <c r="C13" s="1" t="s">
        <v>111</v>
      </c>
      <c r="D13" s="1" t="s">
        <v>112</v>
      </c>
      <c r="E13" s="1" t="s">
        <v>113</v>
      </c>
      <c r="F13" s="1" t="s">
        <v>114</v>
      </c>
      <c r="G13" s="1" t="s">
        <v>115</v>
      </c>
      <c r="H13" s="1" t="s">
        <v>116</v>
      </c>
      <c r="I13" s="1" t="s">
        <v>117</v>
      </c>
      <c r="J13" s="4" t="s">
        <v>118</v>
      </c>
    </row>
    <row r="14">
      <c r="A14" s="3"/>
      <c r="B14" s="3" t="s">
        <v>119</v>
      </c>
      <c r="C14" s="1" t="s">
        <v>120</v>
      </c>
      <c r="D14" s="1" t="s">
        <v>121</v>
      </c>
      <c r="E14" s="1" t="s">
        <v>122</v>
      </c>
      <c r="F14" s="1" t="s">
        <v>123</v>
      </c>
      <c r="G14" s="1" t="s">
        <v>124</v>
      </c>
      <c r="H14" s="1" t="s">
        <v>125</v>
      </c>
      <c r="I14" s="1" t="s">
        <v>126</v>
      </c>
      <c r="J14" s="4" t="s">
        <v>127</v>
      </c>
    </row>
    <row r="15">
      <c r="A15" s="3"/>
      <c r="B15" s="3" t="s">
        <v>128</v>
      </c>
      <c r="C15" s="1" t="s">
        <v>129</v>
      </c>
      <c r="D15" s="1" t="s">
        <v>130</v>
      </c>
      <c r="E15" s="1" t="s">
        <v>131</v>
      </c>
      <c r="F15" s="1" t="s">
        <v>132</v>
      </c>
      <c r="G15" s="1" t="s">
        <v>133</v>
      </c>
      <c r="H15" s="1" t="s">
        <v>134</v>
      </c>
      <c r="I15" s="1" t="s">
        <v>135</v>
      </c>
      <c r="J15" s="4" t="s">
        <v>136</v>
      </c>
    </row>
    <row r="16">
      <c r="A16" s="3"/>
      <c r="B16" s="3" t="s">
        <v>137</v>
      </c>
      <c r="C16" s="1" t="s">
        <v>138</v>
      </c>
      <c r="D16" s="1" t="s">
        <v>139</v>
      </c>
      <c r="E16" s="1" t="s">
        <v>140</v>
      </c>
      <c r="F16" s="1" t="s">
        <v>141</v>
      </c>
      <c r="G16" s="1" t="s">
        <v>142</v>
      </c>
      <c r="H16" s="1" t="s">
        <v>143</v>
      </c>
      <c r="I16" s="1" t="s">
        <v>144</v>
      </c>
      <c r="J16" s="4" t="s">
        <v>145</v>
      </c>
    </row>
    <row r="17">
      <c r="A17" s="3"/>
      <c r="B17" s="3" t="s">
        <v>146</v>
      </c>
      <c r="C17" s="1" t="s">
        <v>147</v>
      </c>
      <c r="D17" s="1" t="s">
        <v>148</v>
      </c>
      <c r="E17" s="1" t="s">
        <v>149</v>
      </c>
      <c r="F17" s="1" t="s">
        <v>150</v>
      </c>
      <c r="G17" s="1" t="s">
        <v>151</v>
      </c>
      <c r="H17" s="1" t="s">
        <v>152</v>
      </c>
      <c r="I17" s="1" t="s">
        <v>153</v>
      </c>
      <c r="J17" s="4" t="s">
        <v>154</v>
      </c>
    </row>
    <row r="18">
      <c r="A18" s="3"/>
      <c r="B18" s="3" t="s">
        <v>155</v>
      </c>
      <c r="C18" s="1" t="s">
        <v>156</v>
      </c>
      <c r="D18" s="1" t="s">
        <v>157</v>
      </c>
      <c r="E18" s="1" t="s">
        <v>158</v>
      </c>
      <c r="F18" s="1" t="s">
        <v>159</v>
      </c>
      <c r="G18" s="1" t="s">
        <v>160</v>
      </c>
      <c r="H18" s="1" t="s">
        <v>161</v>
      </c>
      <c r="I18" s="1" t="s">
        <v>162</v>
      </c>
      <c r="J18" s="4" t="s">
        <v>163</v>
      </c>
    </row>
    <row r="19">
      <c r="A19" s="3"/>
      <c r="B19" s="3" t="s">
        <v>164</v>
      </c>
      <c r="C19" s="1" t="s">
        <v>165</v>
      </c>
      <c r="D19" s="1" t="s">
        <v>166</v>
      </c>
      <c r="E19" s="1" t="s">
        <v>167</v>
      </c>
      <c r="F19" s="1" t="s">
        <v>168</v>
      </c>
      <c r="G19" s="1" t="s">
        <v>169</v>
      </c>
      <c r="H19" s="1" t="s">
        <v>170</v>
      </c>
      <c r="I19" s="1" t="s">
        <v>171</v>
      </c>
      <c r="J19" s="4" t="s">
        <v>172</v>
      </c>
    </row>
    <row r="20">
      <c r="A20" s="1"/>
      <c r="B20" s="1" t="s">
        <v>173</v>
      </c>
      <c r="C20" s="1" t="s">
        <v>174</v>
      </c>
      <c r="D20" s="1" t="s">
        <v>175</v>
      </c>
      <c r="E20" s="1" t="s">
        <v>176</v>
      </c>
      <c r="F20" s="1" t="s">
        <v>177</v>
      </c>
      <c r="G20" s="1" t="s">
        <v>178</v>
      </c>
      <c r="H20" s="1" t="s">
        <v>179</v>
      </c>
      <c r="I20" s="1" t="s">
        <v>180</v>
      </c>
      <c r="J20" s="4" t="s">
        <v>181</v>
      </c>
    </row>
    <row r="21">
      <c r="A21" s="1"/>
      <c r="B21" s="1" t="s">
        <v>182</v>
      </c>
      <c r="C21" s="1" t="s">
        <v>183</v>
      </c>
      <c r="D21" s="1" t="s">
        <v>184</v>
      </c>
      <c r="E21" s="1" t="s">
        <v>185</v>
      </c>
      <c r="F21" s="1" t="s">
        <v>186</v>
      </c>
      <c r="G21" s="1" t="s">
        <v>187</v>
      </c>
      <c r="H21" s="1" t="s">
        <v>188</v>
      </c>
      <c r="I21" s="1" t="s">
        <v>189</v>
      </c>
      <c r="J21" s="4" t="s">
        <v>190</v>
      </c>
    </row>
    <row r="22">
      <c r="A22" s="1"/>
      <c r="B22" s="1" t="s">
        <v>191</v>
      </c>
      <c r="C22" s="1" t="s">
        <v>192</v>
      </c>
      <c r="D22" s="1" t="s">
        <v>193</v>
      </c>
      <c r="E22" s="1" t="s">
        <v>194</v>
      </c>
      <c r="F22" s="1" t="s">
        <v>195</v>
      </c>
      <c r="G22" s="1" t="s">
        <v>196</v>
      </c>
      <c r="H22" s="1" t="s">
        <v>143</v>
      </c>
      <c r="I22" s="1" t="s">
        <v>197</v>
      </c>
      <c r="J22" s="4" t="s">
        <v>198</v>
      </c>
    </row>
    <row r="23">
      <c r="A23" s="1"/>
      <c r="B23" s="1" t="s">
        <v>199</v>
      </c>
      <c r="C23" s="1" t="s">
        <v>200</v>
      </c>
      <c r="D23" s="1" t="s">
        <v>201</v>
      </c>
      <c r="E23" s="1" t="s">
        <v>202</v>
      </c>
      <c r="F23" s="1" t="s">
        <v>203</v>
      </c>
      <c r="G23" s="1" t="s">
        <v>204</v>
      </c>
      <c r="H23" s="1" t="s">
        <v>205</v>
      </c>
      <c r="I23" s="1" t="s">
        <v>206</v>
      </c>
      <c r="J23" s="4" t="s">
        <v>207</v>
      </c>
    </row>
    <row r="24">
      <c r="A24" s="1"/>
      <c r="B24" s="1" t="s">
        <v>208</v>
      </c>
      <c r="C24" s="1" t="s">
        <v>209</v>
      </c>
      <c r="D24" s="1" t="s">
        <v>210</v>
      </c>
      <c r="E24" s="1" t="s">
        <v>211</v>
      </c>
      <c r="F24" s="1" t="s">
        <v>212</v>
      </c>
      <c r="G24" s="1" t="s">
        <v>213</v>
      </c>
      <c r="H24" s="1" t="s">
        <v>214</v>
      </c>
      <c r="I24" s="1" t="s">
        <v>215</v>
      </c>
      <c r="J24" s="4" t="s">
        <v>216</v>
      </c>
    </row>
    <row r="25">
      <c r="A25" s="1"/>
      <c r="B25" s="1" t="s">
        <v>217</v>
      </c>
      <c r="C25" s="1" t="s">
        <v>218</v>
      </c>
      <c r="D25" s="1" t="s">
        <v>219</v>
      </c>
      <c r="E25" s="1" t="s">
        <v>220</v>
      </c>
      <c r="F25" s="1" t="s">
        <v>221</v>
      </c>
      <c r="G25" s="1" t="s">
        <v>222</v>
      </c>
      <c r="H25" s="1" t="s">
        <v>223</v>
      </c>
      <c r="I25" s="1" t="s">
        <v>224</v>
      </c>
      <c r="J25" s="4" t="s">
        <v>225</v>
      </c>
    </row>
    <row r="26">
      <c r="A26" s="1"/>
      <c r="B26" s="1" t="s">
        <v>226</v>
      </c>
      <c r="C26" s="1" t="s">
        <v>227</v>
      </c>
      <c r="D26" s="1" t="s">
        <v>228</v>
      </c>
      <c r="E26" s="1" t="s">
        <v>229</v>
      </c>
      <c r="F26" s="1" t="s">
        <v>230</v>
      </c>
      <c r="G26" s="1" t="s">
        <v>231</v>
      </c>
      <c r="H26" s="1" t="s">
        <v>232</v>
      </c>
      <c r="I26" s="1" t="s">
        <v>233</v>
      </c>
      <c r="J26" s="4" t="s">
        <v>234</v>
      </c>
    </row>
    <row r="27">
      <c r="A27" s="1"/>
      <c r="B27" s="1" t="s">
        <v>235</v>
      </c>
      <c r="C27" s="1" t="s">
        <v>236</v>
      </c>
      <c r="D27" s="1" t="s">
        <v>237</v>
      </c>
      <c r="E27" s="1" t="s">
        <v>238</v>
      </c>
      <c r="F27" s="1" t="s">
        <v>239</v>
      </c>
      <c r="G27" s="1" t="s">
        <v>240</v>
      </c>
      <c r="H27" s="1" t="s">
        <v>241</v>
      </c>
      <c r="I27" s="1" t="s">
        <v>242</v>
      </c>
      <c r="J27" s="4" t="s">
        <v>243</v>
      </c>
    </row>
    <row r="28">
      <c r="A28" s="1"/>
      <c r="B28" s="1" t="s">
        <v>244</v>
      </c>
      <c r="C28" s="1" t="s">
        <v>245</v>
      </c>
      <c r="D28" s="1" t="s">
        <v>246</v>
      </c>
      <c r="E28" s="1" t="s">
        <v>247</v>
      </c>
      <c r="F28" s="1" t="s">
        <v>248</v>
      </c>
      <c r="G28" s="1" t="s">
        <v>249</v>
      </c>
      <c r="H28" s="1" t="s">
        <v>250</v>
      </c>
      <c r="I28" s="1" t="s">
        <v>251</v>
      </c>
      <c r="J28" s="4" t="s">
        <v>252</v>
      </c>
    </row>
    <row r="29">
      <c r="A29" s="1"/>
      <c r="B29" s="1" t="s">
        <v>253</v>
      </c>
      <c r="C29" s="1" t="s">
        <v>254</v>
      </c>
      <c r="D29" s="1" t="s">
        <v>255</v>
      </c>
      <c r="E29" s="1" t="s">
        <v>256</v>
      </c>
      <c r="F29" s="1" t="s">
        <v>257</v>
      </c>
      <c r="G29" s="1" t="s">
        <v>258</v>
      </c>
      <c r="H29" s="1" t="s">
        <v>257</v>
      </c>
      <c r="I29" s="1" t="s">
        <v>258</v>
      </c>
      <c r="J29" s="4" t="s">
        <v>259</v>
      </c>
    </row>
    <row r="30">
      <c r="A30" s="1"/>
      <c r="B30" s="1" t="s">
        <v>260</v>
      </c>
      <c r="C30" s="1" t="s">
        <v>261</v>
      </c>
      <c r="D30" s="1" t="s">
        <v>262</v>
      </c>
      <c r="E30" s="1" t="s">
        <v>263</v>
      </c>
      <c r="F30" s="1" t="s">
        <v>264</v>
      </c>
      <c r="G30" s="1" t="s">
        <v>265</v>
      </c>
      <c r="H30" s="1" t="s">
        <v>266</v>
      </c>
      <c r="I30" s="1" t="s">
        <v>267</v>
      </c>
      <c r="J30" s="4" t="s">
        <v>268</v>
      </c>
    </row>
    <row r="31">
      <c r="A31" s="1"/>
      <c r="B31" s="1" t="s">
        <v>269</v>
      </c>
      <c r="C31" s="1" t="s">
        <v>270</v>
      </c>
      <c r="D31" s="1" t="s">
        <v>271</v>
      </c>
      <c r="E31" s="1" t="s">
        <v>272</v>
      </c>
      <c r="F31" s="1" t="s">
        <v>273</v>
      </c>
      <c r="G31" s="1" t="s">
        <v>274</v>
      </c>
      <c r="H31" s="1" t="s">
        <v>275</v>
      </c>
      <c r="I31" s="1" t="s">
        <v>276</v>
      </c>
      <c r="J31" s="4" t="s">
        <v>277</v>
      </c>
    </row>
    <row r="32">
      <c r="A32" s="1"/>
      <c r="B32" s="1" t="s">
        <v>278</v>
      </c>
      <c r="C32" s="1" t="s">
        <v>279</v>
      </c>
      <c r="D32" s="1" t="s">
        <v>280</v>
      </c>
      <c r="E32" s="1" t="s">
        <v>281</v>
      </c>
      <c r="F32" s="1" t="s">
        <v>282</v>
      </c>
      <c r="G32" s="1" t="s">
        <v>283</v>
      </c>
      <c r="H32" s="1" t="s">
        <v>284</v>
      </c>
      <c r="I32" s="1" t="s">
        <v>285</v>
      </c>
      <c r="J32" s="4" t="s">
        <v>286</v>
      </c>
    </row>
    <row r="33">
      <c r="A33" s="1"/>
      <c r="B33" s="1" t="s">
        <v>287</v>
      </c>
      <c r="C33" s="1" t="s">
        <v>288</v>
      </c>
      <c r="D33" s="1" t="s">
        <v>289</v>
      </c>
      <c r="E33" s="1" t="s">
        <v>290</v>
      </c>
      <c r="F33" s="1" t="s">
        <v>291</v>
      </c>
      <c r="G33" s="1" t="s">
        <v>292</v>
      </c>
      <c r="H33" s="1" t="s">
        <v>293</v>
      </c>
      <c r="I33" s="1" t="s">
        <v>294</v>
      </c>
      <c r="J33" s="4" t="s">
        <v>295</v>
      </c>
    </row>
    <row r="34">
      <c r="A34" s="1"/>
      <c r="B34" s="1" t="s">
        <v>296</v>
      </c>
      <c r="C34" s="1" t="s">
        <v>297</v>
      </c>
      <c r="D34" s="1" t="s">
        <v>298</v>
      </c>
      <c r="E34" s="1" t="s">
        <v>299</v>
      </c>
      <c r="F34" s="1" t="s">
        <v>300</v>
      </c>
      <c r="G34" s="1" t="s">
        <v>301</v>
      </c>
      <c r="H34" s="1" t="s">
        <v>302</v>
      </c>
      <c r="I34" s="1" t="s">
        <v>303</v>
      </c>
      <c r="J34" s="4" t="s">
        <v>304</v>
      </c>
    </row>
    <row r="35">
      <c r="A35" s="1"/>
      <c r="B35" s="1" t="s">
        <v>305</v>
      </c>
      <c r="C35" s="1" t="s">
        <v>306</v>
      </c>
      <c r="D35" s="1" t="s">
        <v>307</v>
      </c>
      <c r="E35" s="1" t="s">
        <v>308</v>
      </c>
      <c r="F35" s="1" t="s">
        <v>309</v>
      </c>
      <c r="G35" s="1" t="s">
        <v>310</v>
      </c>
      <c r="H35" s="1" t="s">
        <v>311</v>
      </c>
      <c r="I35" s="1" t="s">
        <v>312</v>
      </c>
      <c r="J35" s="4" t="s">
        <v>313</v>
      </c>
    </row>
    <row r="36">
      <c r="A36" s="1"/>
      <c r="B36" s="1" t="s">
        <v>314</v>
      </c>
      <c r="C36" s="1" t="s">
        <v>315</v>
      </c>
      <c r="D36" s="1" t="s">
        <v>316</v>
      </c>
      <c r="E36" s="1" t="s">
        <v>317</v>
      </c>
      <c r="F36" s="1" t="s">
        <v>318</v>
      </c>
      <c r="G36" s="1" t="s">
        <v>319</v>
      </c>
      <c r="H36" s="1" t="s">
        <v>320</v>
      </c>
      <c r="I36" s="1" t="s">
        <v>321</v>
      </c>
      <c r="J36" s="4" t="s">
        <v>322</v>
      </c>
    </row>
    <row r="37">
      <c r="A37" s="1"/>
      <c r="B37" s="1" t="s">
        <v>323</v>
      </c>
      <c r="C37" s="1" t="s">
        <v>324</v>
      </c>
      <c r="D37" s="1" t="s">
        <v>325</v>
      </c>
      <c r="E37" s="1" t="s">
        <v>326</v>
      </c>
      <c r="F37" s="1" t="s">
        <v>327</v>
      </c>
      <c r="G37" s="1" t="s">
        <v>328</v>
      </c>
      <c r="H37" s="1" t="s">
        <v>329</v>
      </c>
      <c r="I37" s="1" t="s">
        <v>330</v>
      </c>
      <c r="J37" s="4" t="s">
        <v>331</v>
      </c>
    </row>
    <row r="38">
      <c r="A38" s="1"/>
      <c r="B38" s="1" t="s">
        <v>332</v>
      </c>
      <c r="C38" s="1" t="s">
        <v>333</v>
      </c>
      <c r="D38" s="1" t="s">
        <v>334</v>
      </c>
      <c r="E38" s="1" t="s">
        <v>335</v>
      </c>
      <c r="F38" s="1" t="s">
        <v>336</v>
      </c>
      <c r="G38" s="1" t="s">
        <v>337</v>
      </c>
      <c r="H38" s="1" t="s">
        <v>338</v>
      </c>
      <c r="I38" s="1" t="s">
        <v>339</v>
      </c>
      <c r="J38" s="4" t="s">
        <v>340</v>
      </c>
    </row>
    <row r="39">
      <c r="A39" s="1"/>
      <c r="B39" s="1" t="s">
        <v>341</v>
      </c>
      <c r="C39" s="1" t="s">
        <v>342</v>
      </c>
      <c r="D39" s="1" t="s">
        <v>343</v>
      </c>
      <c r="E39" s="1" t="s">
        <v>344</v>
      </c>
      <c r="F39" s="1" t="s">
        <v>345</v>
      </c>
      <c r="G39" s="1" t="s">
        <v>346</v>
      </c>
      <c r="H39" s="1" t="s">
        <v>347</v>
      </c>
      <c r="I39" s="1" t="s">
        <v>348</v>
      </c>
      <c r="J39" s="4" t="s">
        <v>349</v>
      </c>
    </row>
    <row r="40">
      <c r="A40" s="1"/>
      <c r="B40" s="1" t="s">
        <v>350</v>
      </c>
      <c r="C40" s="1" t="s">
        <v>351</v>
      </c>
      <c r="D40" s="1" t="s">
        <v>352</v>
      </c>
      <c r="E40" s="1" t="s">
        <v>353</v>
      </c>
      <c r="F40" s="1" t="s">
        <v>354</v>
      </c>
      <c r="G40" s="1" t="s">
        <v>355</v>
      </c>
      <c r="H40" s="1" t="s">
        <v>356</v>
      </c>
      <c r="I40" s="1" t="s">
        <v>357</v>
      </c>
      <c r="J40" s="4" t="s">
        <v>358</v>
      </c>
    </row>
    <row r="41">
      <c r="A41" s="1"/>
      <c r="B41" s="1" t="s">
        <v>359</v>
      </c>
      <c r="C41" s="1" t="s">
        <v>360</v>
      </c>
      <c r="D41" s="1" t="s">
        <v>361</v>
      </c>
      <c r="E41" s="1" t="s">
        <v>362</v>
      </c>
      <c r="F41" s="1" t="s">
        <v>363</v>
      </c>
      <c r="G41" s="1" t="s">
        <v>364</v>
      </c>
      <c r="H41" s="1" t="s">
        <v>365</v>
      </c>
      <c r="I41" s="1" t="s">
        <v>366</v>
      </c>
      <c r="J41" s="4" t="s">
        <v>367</v>
      </c>
    </row>
    <row r="42">
      <c r="A42" s="2"/>
      <c r="B42" s="2" t="s">
        <v>368</v>
      </c>
      <c r="C42" s="1" t="s">
        <v>369</v>
      </c>
      <c r="D42" s="1" t="s">
        <v>370</v>
      </c>
      <c r="E42" s="1" t="s">
        <v>371</v>
      </c>
      <c r="F42" s="1" t="s">
        <v>372</v>
      </c>
      <c r="G42" s="1" t="s">
        <v>373</v>
      </c>
      <c r="H42" s="1" t="s">
        <v>374</v>
      </c>
      <c r="I42" s="1" t="s">
        <v>375</v>
      </c>
      <c r="J42" s="4" t="s">
        <v>376</v>
      </c>
    </row>
    <row r="43">
      <c r="A43" s="1"/>
      <c r="B43" s="1" t="s">
        <v>377</v>
      </c>
      <c r="C43" s="2" t="s">
        <v>378</v>
      </c>
      <c r="D43" s="1" t="s">
        <v>379</v>
      </c>
      <c r="E43" s="1" t="s">
        <v>380</v>
      </c>
      <c r="F43" s="1" t="s">
        <v>381</v>
      </c>
      <c r="G43" s="1" t="s">
        <v>382</v>
      </c>
      <c r="H43" s="1" t="s">
        <v>383</v>
      </c>
      <c r="I43" s="1" t="s">
        <v>384</v>
      </c>
      <c r="J43" s="4" t="s">
        <v>385</v>
      </c>
    </row>
    <row r="44">
      <c r="A44" s="2"/>
      <c r="B44" s="2" t="s">
        <v>386</v>
      </c>
      <c r="C44" s="2" t="s">
        <v>387</v>
      </c>
      <c r="D44" s="1" t="s">
        <v>388</v>
      </c>
      <c r="E44" s="1" t="s">
        <v>389</v>
      </c>
      <c r="F44" s="1" t="s">
        <v>390</v>
      </c>
      <c r="G44" s="1" t="s">
        <v>391</v>
      </c>
      <c r="H44" s="1" t="s">
        <v>392</v>
      </c>
      <c r="I44" s="1" t="s">
        <v>393</v>
      </c>
      <c r="J44" s="4" t="s">
        <v>394</v>
      </c>
    </row>
    <row r="45">
      <c r="A45" s="2"/>
      <c r="B45" s="2" t="s">
        <v>395</v>
      </c>
      <c r="C45" s="1" t="s">
        <v>396</v>
      </c>
      <c r="D45" s="1" t="s">
        <v>397</v>
      </c>
      <c r="E45" s="1" t="s">
        <v>398</v>
      </c>
      <c r="F45" s="1" t="s">
        <v>399</v>
      </c>
      <c r="G45" s="1" t="s">
        <v>400</v>
      </c>
      <c r="H45" s="1" t="s">
        <v>401</v>
      </c>
      <c r="I45" s="1" t="s">
        <v>402</v>
      </c>
      <c r="J45" s="4" t="s">
        <v>403</v>
      </c>
    </row>
    <row r="46">
      <c r="A46" s="2"/>
      <c r="B46" s="2" t="s">
        <v>404</v>
      </c>
      <c r="C46" s="1" t="s">
        <v>405</v>
      </c>
      <c r="D46" s="1" t="s">
        <v>406</v>
      </c>
      <c r="E46" s="1" t="s">
        <v>407</v>
      </c>
      <c r="F46" s="1" t="s">
        <v>408</v>
      </c>
      <c r="G46" s="1" t="s">
        <v>409</v>
      </c>
      <c r="H46" s="1" t="s">
        <v>410</v>
      </c>
      <c r="I46" s="1" t="s">
        <v>411</v>
      </c>
      <c r="J46" s="4" t="s">
        <v>412</v>
      </c>
    </row>
    <row r="47">
      <c r="A47" s="1"/>
      <c r="B47" s="1" t="s">
        <v>413</v>
      </c>
      <c r="C47" s="1" t="s">
        <v>414</v>
      </c>
      <c r="D47" s="1" t="s">
        <v>415</v>
      </c>
      <c r="E47" s="1" t="s">
        <v>416</v>
      </c>
      <c r="F47" s="1" t="s">
        <v>417</v>
      </c>
      <c r="G47" s="1" t="s">
        <v>418</v>
      </c>
      <c r="H47" s="1" t="s">
        <v>419</v>
      </c>
      <c r="I47" s="1" t="s">
        <v>420</v>
      </c>
      <c r="J47" s="4" t="s">
        <v>421</v>
      </c>
    </row>
    <row r="48">
      <c r="A48" s="1"/>
      <c r="B48" s="1" t="s">
        <v>422</v>
      </c>
      <c r="C48" s="2" t="s">
        <v>423</v>
      </c>
      <c r="D48" s="1" t="s">
        <v>424</v>
      </c>
      <c r="E48" s="5" t="s">
        <v>425</v>
      </c>
      <c r="F48" s="6" t="s">
        <v>426</v>
      </c>
      <c r="G48" s="1" t="s">
        <v>427</v>
      </c>
      <c r="H48" s="1" t="s">
        <v>428</v>
      </c>
      <c r="I48" s="1" t="s">
        <v>429</v>
      </c>
      <c r="J48" s="4" t="s">
        <v>430</v>
      </c>
    </row>
    <row r="49">
      <c r="A49" s="1"/>
      <c r="B49" s="1" t="s">
        <v>431</v>
      </c>
      <c r="C49" s="1" t="s">
        <v>432</v>
      </c>
      <c r="D49" s="1" t="s">
        <v>433</v>
      </c>
      <c r="E49" s="1" t="s">
        <v>434</v>
      </c>
      <c r="F49" s="1" t="s">
        <v>435</v>
      </c>
      <c r="G49" s="1" t="s">
        <v>436</v>
      </c>
      <c r="H49" s="1" t="s">
        <v>437</v>
      </c>
      <c r="I49" s="1" t="s">
        <v>438</v>
      </c>
      <c r="J49" s="4" t="s">
        <v>439</v>
      </c>
    </row>
    <row r="50">
      <c r="A50" s="2"/>
      <c r="B50" s="2" t="s">
        <v>440</v>
      </c>
      <c r="C50" s="1" t="s">
        <v>441</v>
      </c>
      <c r="D50" s="1" t="s">
        <v>442</v>
      </c>
      <c r="E50" s="1" t="s">
        <v>443</v>
      </c>
      <c r="F50" s="1" t="s">
        <v>444</v>
      </c>
      <c r="G50" s="1" t="s">
        <v>445</v>
      </c>
      <c r="H50" s="1" t="s">
        <v>446</v>
      </c>
      <c r="I50" s="1" t="s">
        <v>447</v>
      </c>
      <c r="J50" s="4" t="s">
        <v>448</v>
      </c>
    </row>
    <row r="51">
      <c r="A51" s="1"/>
      <c r="B51" s="1" t="s">
        <v>449</v>
      </c>
      <c r="C51" s="2" t="s">
        <v>450</v>
      </c>
      <c r="D51" s="1" t="s">
        <v>451</v>
      </c>
      <c r="E51" s="1" t="s">
        <v>452</v>
      </c>
      <c r="F51" s="1" t="s">
        <v>453</v>
      </c>
      <c r="G51" s="1" t="s">
        <v>454</v>
      </c>
      <c r="H51" s="1" t="s">
        <v>455</v>
      </c>
      <c r="I51" s="1" t="s">
        <v>456</v>
      </c>
      <c r="J51" s="4" t="s">
        <v>457</v>
      </c>
    </row>
    <row r="52">
      <c r="A52" s="2"/>
      <c r="B52" s="2" t="s">
        <v>458</v>
      </c>
      <c r="C52" s="1" t="s">
        <v>459</v>
      </c>
      <c r="D52" s="1" t="s">
        <v>460</v>
      </c>
      <c r="E52" s="1" t="s">
        <v>461</v>
      </c>
      <c r="F52" s="1" t="s">
        <v>462</v>
      </c>
      <c r="G52" s="1" t="s">
        <v>463</v>
      </c>
      <c r="H52" s="1" t="s">
        <v>464</v>
      </c>
      <c r="I52" s="1" t="s">
        <v>465</v>
      </c>
      <c r="J52" s="4" t="s">
        <v>466</v>
      </c>
    </row>
    <row r="53">
      <c r="A53" s="2"/>
      <c r="B53" s="2" t="s">
        <v>467</v>
      </c>
      <c r="C53" s="1" t="s">
        <v>468</v>
      </c>
      <c r="D53" s="1" t="s">
        <v>469</v>
      </c>
      <c r="E53" s="1" t="s">
        <v>470</v>
      </c>
      <c r="F53" s="1" t="s">
        <v>471</v>
      </c>
      <c r="G53" s="1" t="s">
        <v>472</v>
      </c>
      <c r="H53" s="1" t="s">
        <v>473</v>
      </c>
      <c r="I53" s="1" t="s">
        <v>474</v>
      </c>
      <c r="J53" s="4" t="s">
        <v>475</v>
      </c>
    </row>
    <row r="54">
      <c r="A54" s="2"/>
      <c r="B54" s="2" t="s">
        <v>476</v>
      </c>
      <c r="C54" s="1" t="s">
        <v>477</v>
      </c>
      <c r="D54" s="1" t="s">
        <v>478</v>
      </c>
      <c r="E54" s="1" t="s">
        <v>479</v>
      </c>
      <c r="F54" s="1" t="s">
        <v>480</v>
      </c>
      <c r="G54" s="1" t="s">
        <v>481</v>
      </c>
      <c r="H54" s="1" t="s">
        <v>482</v>
      </c>
      <c r="I54" s="1" t="s">
        <v>483</v>
      </c>
      <c r="J54" s="4" t="s">
        <v>484</v>
      </c>
    </row>
    <row r="55">
      <c r="A55" s="2"/>
      <c r="B55" s="2" t="s">
        <v>485</v>
      </c>
      <c r="C55" s="1" t="s">
        <v>486</v>
      </c>
      <c r="D55" s="1" t="s">
        <v>487</v>
      </c>
      <c r="E55" s="1" t="s">
        <v>488</v>
      </c>
      <c r="F55" s="1" t="s">
        <v>489</v>
      </c>
      <c r="G55" s="1" t="s">
        <v>490</v>
      </c>
      <c r="H55" s="1" t="s">
        <v>491</v>
      </c>
      <c r="I55" s="1" t="s">
        <v>492</v>
      </c>
      <c r="J55" s="4" t="s">
        <v>493</v>
      </c>
    </row>
    <row r="56">
      <c r="A56" s="2"/>
      <c r="B56" s="2" t="s">
        <v>494</v>
      </c>
      <c r="C56" s="1" t="s">
        <v>495</v>
      </c>
      <c r="D56" s="1" t="s">
        <v>496</v>
      </c>
      <c r="E56" s="1" t="s">
        <v>497</v>
      </c>
      <c r="F56" s="1" t="s">
        <v>498</v>
      </c>
      <c r="G56" s="1" t="s">
        <v>499</v>
      </c>
      <c r="H56" s="1" t="s">
        <v>500</v>
      </c>
      <c r="I56" s="1" t="s">
        <v>215</v>
      </c>
      <c r="J56" s="4" t="s">
        <v>501</v>
      </c>
    </row>
    <row r="57">
      <c r="A57" s="1"/>
      <c r="B57" s="1" t="s">
        <v>502</v>
      </c>
      <c r="C57" s="1" t="s">
        <v>503</v>
      </c>
      <c r="D57" s="1" t="s">
        <v>504</v>
      </c>
      <c r="E57" s="1" t="s">
        <v>505</v>
      </c>
      <c r="F57" s="1" t="s">
        <v>506</v>
      </c>
      <c r="G57" s="1" t="s">
        <v>507</v>
      </c>
      <c r="H57" s="1" t="s">
        <v>508</v>
      </c>
      <c r="I57" s="1" t="s">
        <v>509</v>
      </c>
      <c r="J57" s="4" t="s">
        <v>510</v>
      </c>
    </row>
    <row r="58">
      <c r="A58" s="2"/>
      <c r="B58" s="2" t="s">
        <v>511</v>
      </c>
      <c r="C58" s="1" t="s">
        <v>512</v>
      </c>
      <c r="D58" s="1" t="s">
        <v>513</v>
      </c>
      <c r="E58" s="1" t="s">
        <v>514</v>
      </c>
      <c r="F58" s="1" t="s">
        <v>515</v>
      </c>
      <c r="G58" s="1" t="s">
        <v>516</v>
      </c>
      <c r="H58" s="1" t="s">
        <v>517</v>
      </c>
      <c r="I58" s="1" t="s">
        <v>518</v>
      </c>
      <c r="J58" s="4" t="s">
        <v>519</v>
      </c>
    </row>
    <row r="59">
      <c r="A59" s="1"/>
      <c r="B59" s="1" t="s">
        <v>520</v>
      </c>
      <c r="C59" s="1" t="s">
        <v>324</v>
      </c>
      <c r="D59" s="1" t="s">
        <v>521</v>
      </c>
      <c r="E59" s="1" t="s">
        <v>522</v>
      </c>
      <c r="F59" s="1" t="s">
        <v>523</v>
      </c>
      <c r="G59" s="1" t="s">
        <v>524</v>
      </c>
      <c r="H59" s="1" t="s">
        <v>329</v>
      </c>
      <c r="I59" s="1" t="s">
        <v>525</v>
      </c>
      <c r="J59" s="4" t="s">
        <v>526</v>
      </c>
    </row>
    <row r="60">
      <c r="A60" s="1"/>
      <c r="B60" s="1" t="s">
        <v>527</v>
      </c>
      <c r="C60" s="1" t="s">
        <v>528</v>
      </c>
      <c r="D60" s="1" t="s">
        <v>529</v>
      </c>
      <c r="E60" s="1" t="s">
        <v>530</v>
      </c>
      <c r="F60" s="1" t="s">
        <v>531</v>
      </c>
      <c r="G60" s="1" t="s">
        <v>532</v>
      </c>
      <c r="H60" s="1" t="s">
        <v>533</v>
      </c>
      <c r="I60" s="1" t="s">
        <v>534</v>
      </c>
      <c r="J60" s="4" t="s">
        <v>535</v>
      </c>
    </row>
    <row r="61">
      <c r="A61" s="7"/>
      <c r="B61" s="7" t="s">
        <v>536</v>
      </c>
      <c r="C61" s="7" t="s">
        <v>537</v>
      </c>
      <c r="D61" s="7" t="s">
        <v>538</v>
      </c>
      <c r="E61" s="7" t="s">
        <v>539</v>
      </c>
      <c r="F61" s="7" t="s">
        <v>540</v>
      </c>
      <c r="G61" s="1" t="s">
        <v>541</v>
      </c>
      <c r="H61" s="1" t="s">
        <v>542</v>
      </c>
      <c r="I61" s="1" t="s">
        <v>543</v>
      </c>
      <c r="J61" s="4" t="s">
        <v>544</v>
      </c>
    </row>
    <row r="62">
      <c r="A62" s="1"/>
      <c r="B62" s="1" t="s">
        <v>545</v>
      </c>
      <c r="C62" s="1" t="s">
        <v>546</v>
      </c>
      <c r="D62" s="1" t="s">
        <v>547</v>
      </c>
      <c r="E62" s="1" t="s">
        <v>548</v>
      </c>
      <c r="F62" s="1" t="s">
        <v>549</v>
      </c>
      <c r="G62" s="1" t="s">
        <v>550</v>
      </c>
      <c r="H62" s="1" t="s">
        <v>551</v>
      </c>
      <c r="I62" s="1" t="s">
        <v>552</v>
      </c>
      <c r="J62" s="4" t="s">
        <v>553</v>
      </c>
    </row>
    <row r="63">
      <c r="A63" s="1"/>
      <c r="B63" s="1" t="s">
        <v>554</v>
      </c>
      <c r="C63" s="1" t="s">
        <v>555</v>
      </c>
      <c r="D63" s="1" t="s">
        <v>556</v>
      </c>
      <c r="E63" s="1" t="s">
        <v>557</v>
      </c>
      <c r="F63" s="1" t="s">
        <v>558</v>
      </c>
      <c r="G63" s="1" t="s">
        <v>559</v>
      </c>
      <c r="H63" s="1" t="s">
        <v>560</v>
      </c>
      <c r="I63" s="1" t="s">
        <v>561</v>
      </c>
      <c r="J63" s="4" t="s">
        <v>562</v>
      </c>
    </row>
    <row r="64">
      <c r="A64" s="1"/>
      <c r="B64" s="1" t="s">
        <v>563</v>
      </c>
      <c r="C64" s="1" t="s">
        <v>564</v>
      </c>
      <c r="D64" s="1" t="s">
        <v>565</v>
      </c>
      <c r="E64" s="1" t="s">
        <v>566</v>
      </c>
      <c r="F64" s="1" t="s">
        <v>567</v>
      </c>
      <c r="G64" s="1" t="s">
        <v>568</v>
      </c>
      <c r="H64" s="1" t="s">
        <v>569</v>
      </c>
      <c r="I64" s="1" t="s">
        <v>570</v>
      </c>
      <c r="J64" s="4" t="s">
        <v>571</v>
      </c>
    </row>
    <row r="65">
      <c r="A65" s="1"/>
      <c r="B65" s="1" t="s">
        <v>572</v>
      </c>
      <c r="C65" s="1" t="s">
        <v>573</v>
      </c>
      <c r="D65" s="1" t="s">
        <v>574</v>
      </c>
      <c r="E65" s="1" t="s">
        <v>575</v>
      </c>
      <c r="F65" s="1" t="s">
        <v>576</v>
      </c>
      <c r="G65" s="1" t="s">
        <v>577</v>
      </c>
      <c r="H65" s="1" t="s">
        <v>578</v>
      </c>
      <c r="I65" s="1" t="s">
        <v>579</v>
      </c>
      <c r="J65" s="4" t="s">
        <v>580</v>
      </c>
    </row>
    <row r="66">
      <c r="A66" s="1"/>
      <c r="B66" s="1" t="s">
        <v>581</v>
      </c>
      <c r="C66" s="1" t="s">
        <v>582</v>
      </c>
      <c r="D66" s="1" t="s">
        <v>583</v>
      </c>
      <c r="E66" s="1" t="s">
        <v>584</v>
      </c>
      <c r="F66" s="1" t="s">
        <v>585</v>
      </c>
      <c r="G66" s="1" t="s">
        <v>586</v>
      </c>
      <c r="H66" s="1" t="s">
        <v>587</v>
      </c>
      <c r="I66" s="1" t="s">
        <v>588</v>
      </c>
      <c r="J66" s="4" t="s">
        <v>589</v>
      </c>
    </row>
    <row r="67">
      <c r="A67" s="1"/>
      <c r="B67" s="1" t="s">
        <v>590</v>
      </c>
      <c r="C67" s="1" t="s">
        <v>591</v>
      </c>
      <c r="D67" s="1" t="s">
        <v>592</v>
      </c>
      <c r="E67" s="1" t="s">
        <v>593</v>
      </c>
      <c r="F67" s="1" t="s">
        <v>594</v>
      </c>
      <c r="G67" s="1" t="s">
        <v>595</v>
      </c>
      <c r="H67" s="1" t="s">
        <v>596</v>
      </c>
      <c r="I67" s="1" t="s">
        <v>597</v>
      </c>
      <c r="J67" s="4" t="s">
        <v>598</v>
      </c>
    </row>
    <row r="68">
      <c r="A68" s="1"/>
      <c r="B68" s="1" t="s">
        <v>599</v>
      </c>
      <c r="C68" s="1" t="s">
        <v>600</v>
      </c>
      <c r="D68" s="1" t="s">
        <v>601</v>
      </c>
      <c r="E68" s="1" t="s">
        <v>602</v>
      </c>
      <c r="F68" s="1" t="s">
        <v>603</v>
      </c>
      <c r="G68" s="1" t="s">
        <v>604</v>
      </c>
      <c r="H68" s="1" t="s">
        <v>605</v>
      </c>
      <c r="I68" s="1" t="s">
        <v>606</v>
      </c>
      <c r="J68" s="4" t="s">
        <v>607</v>
      </c>
    </row>
    <row r="69">
      <c r="A69" s="1"/>
      <c r="B69" s="1" t="s">
        <v>608</v>
      </c>
      <c r="C69" s="1" t="s">
        <v>609</v>
      </c>
      <c r="D69" s="1" t="s">
        <v>610</v>
      </c>
      <c r="E69" s="1" t="s">
        <v>611</v>
      </c>
      <c r="F69" s="1" t="s">
        <v>612</v>
      </c>
      <c r="G69" s="1" t="s">
        <v>613</v>
      </c>
      <c r="H69" s="1" t="s">
        <v>614</v>
      </c>
      <c r="I69" s="1" t="s">
        <v>615</v>
      </c>
      <c r="J69" s="4" t="s">
        <v>616</v>
      </c>
    </row>
    <row r="70">
      <c r="A70" s="1"/>
      <c r="B70" s="1" t="s">
        <v>617</v>
      </c>
      <c r="C70" s="1" t="s">
        <v>618</v>
      </c>
      <c r="D70" s="1" t="s">
        <v>619</v>
      </c>
      <c r="E70" s="1" t="s">
        <v>620</v>
      </c>
      <c r="F70" s="1" t="s">
        <v>621</v>
      </c>
      <c r="G70" s="1" t="s">
        <v>622</v>
      </c>
      <c r="H70" s="1" t="s">
        <v>623</v>
      </c>
      <c r="I70" s="1" t="s">
        <v>624</v>
      </c>
      <c r="J70" s="4" t="s">
        <v>625</v>
      </c>
    </row>
    <row r="71">
      <c r="A71" s="1"/>
      <c r="B71" s="1" t="s">
        <v>626</v>
      </c>
      <c r="C71" s="1" t="s">
        <v>627</v>
      </c>
      <c r="D71" s="1" t="s">
        <v>628</v>
      </c>
      <c r="E71" s="1" t="s">
        <v>629</v>
      </c>
      <c r="F71" s="1" t="s">
        <v>630</v>
      </c>
      <c r="G71" s="1" t="s">
        <v>631</v>
      </c>
      <c r="H71" s="1" t="s">
        <v>632</v>
      </c>
      <c r="I71" s="1" t="s">
        <v>633</v>
      </c>
      <c r="J71" s="4" t="s">
        <v>634</v>
      </c>
    </row>
    <row r="72">
      <c r="A72" s="1"/>
      <c r="B72" s="1" t="s">
        <v>635</v>
      </c>
      <c r="C72" s="1" t="s">
        <v>636</v>
      </c>
      <c r="D72" s="1" t="s">
        <v>637</v>
      </c>
      <c r="E72" s="1" t="s">
        <v>638</v>
      </c>
      <c r="F72" s="1" t="s">
        <v>639</v>
      </c>
      <c r="G72" s="1" t="s">
        <v>640</v>
      </c>
      <c r="H72" s="1" t="s">
        <v>641</v>
      </c>
      <c r="I72" s="1" t="s">
        <v>642</v>
      </c>
      <c r="J72" s="4" t="s">
        <v>643</v>
      </c>
    </row>
    <row r="73">
      <c r="A73" s="1"/>
      <c r="B73" s="1" t="s">
        <v>644</v>
      </c>
      <c r="C73" s="1" t="s">
        <v>645</v>
      </c>
      <c r="D73" s="1" t="s">
        <v>646</v>
      </c>
      <c r="E73" s="1" t="s">
        <v>647</v>
      </c>
      <c r="F73" s="1" t="s">
        <v>648</v>
      </c>
      <c r="G73" s="1" t="s">
        <v>649</v>
      </c>
      <c r="H73" s="1" t="s">
        <v>650</v>
      </c>
      <c r="I73" s="1" t="s">
        <v>651</v>
      </c>
      <c r="J73" s="4" t="s">
        <v>652</v>
      </c>
    </row>
    <row r="74">
      <c r="A74" s="1"/>
      <c r="B74" s="1" t="s">
        <v>653</v>
      </c>
      <c r="C74" s="1" t="s">
        <v>654</v>
      </c>
      <c r="D74" s="1" t="s">
        <v>655</v>
      </c>
      <c r="E74" s="1" t="s">
        <v>656</v>
      </c>
      <c r="F74" s="1" t="s">
        <v>657</v>
      </c>
      <c r="G74" s="1" t="s">
        <v>658</v>
      </c>
      <c r="H74" s="1" t="s">
        <v>659</v>
      </c>
      <c r="I74" s="1" t="s">
        <v>660</v>
      </c>
      <c r="J74" s="4" t="s">
        <v>661</v>
      </c>
    </row>
    <row r="75">
      <c r="A75" s="1"/>
      <c r="B75" s="1" t="s">
        <v>662</v>
      </c>
      <c r="C75" s="1" t="s">
        <v>663</v>
      </c>
      <c r="D75" s="1" t="s">
        <v>664</v>
      </c>
      <c r="E75" s="1" t="s">
        <v>665</v>
      </c>
      <c r="F75" s="1" t="s">
        <v>666</v>
      </c>
      <c r="G75" s="1" t="s">
        <v>667</v>
      </c>
      <c r="H75" s="1" t="s">
        <v>668</v>
      </c>
      <c r="I75" s="1" t="s">
        <v>669</v>
      </c>
      <c r="J75" s="4" t="s">
        <v>670</v>
      </c>
    </row>
    <row r="76">
      <c r="A76" s="1"/>
      <c r="B76" s="1" t="s">
        <v>671</v>
      </c>
      <c r="C76" s="1" t="s">
        <v>672</v>
      </c>
      <c r="D76" s="1" t="s">
        <v>673</v>
      </c>
      <c r="E76" s="1" t="s">
        <v>674</v>
      </c>
      <c r="F76" s="1" t="s">
        <v>675</v>
      </c>
      <c r="G76" s="1" t="s">
        <v>676</v>
      </c>
      <c r="H76" s="1" t="s">
        <v>677</v>
      </c>
      <c r="I76" s="1" t="s">
        <v>678</v>
      </c>
      <c r="J76" s="4" t="s">
        <v>679</v>
      </c>
    </row>
    <row r="77">
      <c r="A77" s="1"/>
      <c r="B77" s="1" t="s">
        <v>680</v>
      </c>
      <c r="C77" s="1" t="s">
        <v>681</v>
      </c>
      <c r="D77" s="1" t="s">
        <v>682</v>
      </c>
      <c r="E77" s="1" t="s">
        <v>683</v>
      </c>
      <c r="F77" s="1" t="s">
        <v>684</v>
      </c>
      <c r="G77" s="1" t="s">
        <v>685</v>
      </c>
      <c r="H77" s="1" t="s">
        <v>686</v>
      </c>
      <c r="I77" s="1" t="s">
        <v>687</v>
      </c>
      <c r="J77" s="4" t="s">
        <v>688</v>
      </c>
    </row>
    <row r="78">
      <c r="A78" s="1"/>
      <c r="B78" s="1" t="s">
        <v>689</v>
      </c>
      <c r="C78" s="1" t="s">
        <v>690</v>
      </c>
      <c r="D78" s="1" t="s">
        <v>691</v>
      </c>
      <c r="E78" s="1" t="s">
        <v>692</v>
      </c>
      <c r="F78" s="1" t="s">
        <v>693</v>
      </c>
      <c r="G78" s="1" t="s">
        <v>694</v>
      </c>
      <c r="H78" s="1" t="s">
        <v>695</v>
      </c>
      <c r="I78" s="1" t="s">
        <v>696</v>
      </c>
      <c r="J78" s="4" t="s">
        <v>697</v>
      </c>
    </row>
    <row r="79">
      <c r="A79" s="1"/>
      <c r="B79" s="1" t="s">
        <v>698</v>
      </c>
      <c r="C79" s="1" t="s">
        <v>699</v>
      </c>
      <c r="D79" s="1" t="s">
        <v>700</v>
      </c>
      <c r="E79" s="1" t="s">
        <v>701</v>
      </c>
      <c r="F79" s="1" t="s">
        <v>702</v>
      </c>
      <c r="G79" s="1" t="s">
        <v>703</v>
      </c>
      <c r="H79" s="1" t="s">
        <v>704</v>
      </c>
      <c r="I79" s="1" t="s">
        <v>705</v>
      </c>
      <c r="J79" s="4" t="s">
        <v>706</v>
      </c>
    </row>
    <row r="80">
      <c r="A80" s="1"/>
      <c r="B80" s="1" t="s">
        <v>707</v>
      </c>
      <c r="C80" s="1" t="s">
        <v>708</v>
      </c>
      <c r="D80" s="1" t="s">
        <v>709</v>
      </c>
      <c r="E80" s="1" t="s">
        <v>710</v>
      </c>
      <c r="F80" s="1" t="s">
        <v>711</v>
      </c>
      <c r="G80" s="1" t="s">
        <v>712</v>
      </c>
      <c r="H80" s="1" t="s">
        <v>713</v>
      </c>
      <c r="I80" s="1" t="s">
        <v>714</v>
      </c>
      <c r="J80" s="4" t="s">
        <v>715</v>
      </c>
    </row>
    <row r="81">
      <c r="A81" s="1"/>
      <c r="B81" s="1" t="s">
        <v>716</v>
      </c>
      <c r="C81" s="1" t="s">
        <v>717</v>
      </c>
      <c r="D81" s="1" t="s">
        <v>718</v>
      </c>
      <c r="E81" s="1" t="s">
        <v>719</v>
      </c>
      <c r="F81" s="1" t="s">
        <v>720</v>
      </c>
      <c r="G81" s="1" t="s">
        <v>721</v>
      </c>
      <c r="H81" s="1" t="s">
        <v>722</v>
      </c>
      <c r="I81" s="1" t="s">
        <v>723</v>
      </c>
      <c r="J81" s="4" t="s">
        <v>724</v>
      </c>
    </row>
    <row r="82">
      <c r="A82" s="1"/>
      <c r="B82" s="1" t="s">
        <v>725</v>
      </c>
      <c r="C82" s="1" t="s">
        <v>726</v>
      </c>
      <c r="D82" s="1" t="s">
        <v>727</v>
      </c>
      <c r="E82" s="1" t="s">
        <v>728</v>
      </c>
      <c r="F82" s="1" t="s">
        <v>729</v>
      </c>
      <c r="G82" s="1" t="s">
        <v>667</v>
      </c>
      <c r="H82" s="1" t="s">
        <v>730</v>
      </c>
      <c r="I82" s="1" t="s">
        <v>731</v>
      </c>
      <c r="J82" s="4" t="s">
        <v>732</v>
      </c>
    </row>
    <row r="83">
      <c r="A83" s="1"/>
      <c r="B83" s="1" t="s">
        <v>733</v>
      </c>
      <c r="C83" s="1" t="s">
        <v>734</v>
      </c>
      <c r="D83" s="1" t="s">
        <v>735</v>
      </c>
      <c r="E83" s="1" t="s">
        <v>736</v>
      </c>
      <c r="F83" s="1" t="s">
        <v>737</v>
      </c>
      <c r="G83" s="1" t="s">
        <v>738</v>
      </c>
      <c r="H83" s="1" t="s">
        <v>739</v>
      </c>
      <c r="I83" s="1" t="s">
        <v>740</v>
      </c>
      <c r="J83" s="4" t="s">
        <v>741</v>
      </c>
    </row>
    <row r="84">
      <c r="A84" s="1"/>
      <c r="B84" s="1" t="s">
        <v>742</v>
      </c>
      <c r="C84" s="1" t="s">
        <v>743</v>
      </c>
      <c r="D84" s="1" t="s">
        <v>744</v>
      </c>
      <c r="E84" s="1" t="s">
        <v>745</v>
      </c>
      <c r="F84" s="1" t="s">
        <v>746</v>
      </c>
      <c r="G84" s="1" t="s">
        <v>747</v>
      </c>
      <c r="H84" s="1" t="s">
        <v>748</v>
      </c>
      <c r="I84" s="1" t="s">
        <v>749</v>
      </c>
      <c r="J84" s="4" t="s">
        <v>750</v>
      </c>
    </row>
    <row r="85">
      <c r="A85" s="1"/>
      <c r="B85" s="1" t="s">
        <v>751</v>
      </c>
      <c r="C85" s="1" t="s">
        <v>752</v>
      </c>
      <c r="D85" s="1" t="s">
        <v>753</v>
      </c>
      <c r="E85" s="1" t="s">
        <v>754</v>
      </c>
      <c r="F85" s="1" t="s">
        <v>755</v>
      </c>
      <c r="G85" s="1" t="s">
        <v>756</v>
      </c>
      <c r="H85" s="1" t="s">
        <v>757</v>
      </c>
      <c r="I85" s="1" t="s">
        <v>758</v>
      </c>
      <c r="J85" s="4" t="s">
        <v>759</v>
      </c>
    </row>
    <row r="86">
      <c r="A86" s="1"/>
      <c r="B86" s="1" t="s">
        <v>760</v>
      </c>
      <c r="C86" s="1" t="s">
        <v>761</v>
      </c>
      <c r="D86" s="1" t="s">
        <v>762</v>
      </c>
      <c r="E86" s="1" t="s">
        <v>763</v>
      </c>
      <c r="F86" s="1" t="s">
        <v>764</v>
      </c>
      <c r="G86" s="1" t="s">
        <v>765</v>
      </c>
      <c r="H86" s="1" t="s">
        <v>766</v>
      </c>
      <c r="I86" s="1" t="s">
        <v>767</v>
      </c>
      <c r="J86" s="4" t="s">
        <v>768</v>
      </c>
    </row>
    <row r="87">
      <c r="A87" s="1"/>
      <c r="B87" s="1" t="s">
        <v>769</v>
      </c>
      <c r="C87" s="1" t="s">
        <v>770</v>
      </c>
      <c r="D87" s="1" t="s">
        <v>771</v>
      </c>
      <c r="E87" s="1" t="s">
        <v>772</v>
      </c>
      <c r="F87" s="1" t="s">
        <v>773</v>
      </c>
      <c r="G87" s="1" t="s">
        <v>774</v>
      </c>
      <c r="H87" s="1" t="s">
        <v>775</v>
      </c>
      <c r="I87" s="1" t="s">
        <v>776</v>
      </c>
      <c r="J87" s="4" t="s">
        <v>777</v>
      </c>
    </row>
    <row r="88">
      <c r="A88" s="1"/>
      <c r="B88" s="1" t="s">
        <v>778</v>
      </c>
      <c r="C88" s="1" t="s">
        <v>779</v>
      </c>
      <c r="D88" s="1" t="s">
        <v>780</v>
      </c>
      <c r="E88" s="1" t="s">
        <v>781</v>
      </c>
      <c r="F88" s="1" t="s">
        <v>782</v>
      </c>
      <c r="G88" s="1" t="s">
        <v>783</v>
      </c>
      <c r="H88" s="1" t="s">
        <v>784</v>
      </c>
      <c r="I88" s="1" t="s">
        <v>785</v>
      </c>
      <c r="J88" s="4" t="s">
        <v>786</v>
      </c>
    </row>
    <row r="89">
      <c r="A89" s="1"/>
      <c r="B89" s="1" t="s">
        <v>787</v>
      </c>
      <c r="C89" s="1" t="s">
        <v>788</v>
      </c>
      <c r="D89" s="1" t="s">
        <v>789</v>
      </c>
      <c r="E89" s="1" t="s">
        <v>790</v>
      </c>
      <c r="F89" s="1" t="s">
        <v>791</v>
      </c>
      <c r="G89" s="1" t="s">
        <v>792</v>
      </c>
      <c r="H89" s="1" t="s">
        <v>793</v>
      </c>
      <c r="I89" s="1" t="s">
        <v>794</v>
      </c>
      <c r="J89" s="4" t="s">
        <v>795</v>
      </c>
    </row>
    <row r="90">
      <c r="A90" s="1"/>
      <c r="B90" s="1" t="s">
        <v>796</v>
      </c>
      <c r="C90" s="1" t="s">
        <v>797</v>
      </c>
      <c r="D90" s="1" t="s">
        <v>798</v>
      </c>
      <c r="E90" s="1" t="s">
        <v>799</v>
      </c>
      <c r="F90" s="1" t="s">
        <v>800</v>
      </c>
      <c r="G90" s="1" t="s">
        <v>801</v>
      </c>
      <c r="H90" s="1" t="s">
        <v>802</v>
      </c>
      <c r="I90" s="1" t="s">
        <v>803</v>
      </c>
      <c r="J90" s="4" t="s">
        <v>804</v>
      </c>
    </row>
    <row r="91">
      <c r="A91" s="1"/>
      <c r="B91" s="1" t="s">
        <v>805</v>
      </c>
      <c r="C91" s="1" t="s">
        <v>806</v>
      </c>
      <c r="D91" s="1" t="s">
        <v>807</v>
      </c>
      <c r="E91" s="1" t="s">
        <v>808</v>
      </c>
      <c r="F91" s="1" t="s">
        <v>809</v>
      </c>
      <c r="G91" s="1" t="s">
        <v>810</v>
      </c>
      <c r="H91" s="1" t="s">
        <v>811</v>
      </c>
      <c r="I91" s="1" t="s">
        <v>812</v>
      </c>
      <c r="J91" s="4" t="s">
        <v>813</v>
      </c>
    </row>
    <row r="92">
      <c r="A92" s="1"/>
      <c r="B92" s="1" t="s">
        <v>814</v>
      </c>
      <c r="C92" s="1" t="s">
        <v>815</v>
      </c>
      <c r="D92" s="1" t="s">
        <v>816</v>
      </c>
      <c r="E92" s="1" t="s">
        <v>817</v>
      </c>
      <c r="F92" s="1" t="s">
        <v>818</v>
      </c>
      <c r="G92" s="1" t="s">
        <v>819</v>
      </c>
      <c r="H92" s="1" t="s">
        <v>820</v>
      </c>
      <c r="I92" s="1" t="s">
        <v>821</v>
      </c>
      <c r="J92" s="4" t="s">
        <v>822</v>
      </c>
    </row>
    <row r="93">
      <c r="A93" s="1"/>
      <c r="B93" s="1" t="s">
        <v>823</v>
      </c>
      <c r="C93" s="1" t="s">
        <v>824</v>
      </c>
      <c r="D93" s="1" t="s">
        <v>825</v>
      </c>
      <c r="E93" s="1" t="s">
        <v>826</v>
      </c>
      <c r="F93" s="1" t="s">
        <v>827</v>
      </c>
      <c r="G93" s="1" t="s">
        <v>828</v>
      </c>
      <c r="H93" s="1" t="s">
        <v>829</v>
      </c>
      <c r="I93" s="1" t="s">
        <v>830</v>
      </c>
      <c r="J93" s="4" t="s">
        <v>831</v>
      </c>
    </row>
    <row r="94">
      <c r="A94" s="1"/>
      <c r="B94" s="1" t="s">
        <v>832</v>
      </c>
      <c r="C94" s="1" t="s">
        <v>833</v>
      </c>
      <c r="D94" s="1" t="s">
        <v>834</v>
      </c>
      <c r="E94" s="1" t="s">
        <v>835</v>
      </c>
      <c r="F94" s="1" t="s">
        <v>836</v>
      </c>
      <c r="G94" s="1" t="s">
        <v>837</v>
      </c>
      <c r="H94" s="1" t="s">
        <v>838</v>
      </c>
      <c r="I94" s="1" t="s">
        <v>705</v>
      </c>
      <c r="J94" s="4" t="s">
        <v>839</v>
      </c>
    </row>
    <row r="95">
      <c r="A95" s="1"/>
      <c r="B95" s="1" t="s">
        <v>840</v>
      </c>
      <c r="C95" s="1" t="s">
        <v>841</v>
      </c>
      <c r="D95" s="1" t="s">
        <v>842</v>
      </c>
      <c r="E95" s="1" t="s">
        <v>843</v>
      </c>
      <c r="F95" s="1" t="s">
        <v>844</v>
      </c>
      <c r="G95" s="1" t="s">
        <v>845</v>
      </c>
      <c r="H95" s="1" t="s">
        <v>846</v>
      </c>
      <c r="I95" s="1" t="s">
        <v>847</v>
      </c>
      <c r="J95" s="4" t="s">
        <v>848</v>
      </c>
    </row>
    <row r="96">
      <c r="A96" s="1"/>
      <c r="B96" s="1" t="s">
        <v>849</v>
      </c>
      <c r="C96" s="1" t="s">
        <v>850</v>
      </c>
      <c r="D96" s="1" t="s">
        <v>851</v>
      </c>
      <c r="E96" s="1" t="s">
        <v>852</v>
      </c>
      <c r="F96" s="1" t="s">
        <v>853</v>
      </c>
      <c r="G96" s="1" t="s">
        <v>854</v>
      </c>
      <c r="H96" s="1" t="s">
        <v>855</v>
      </c>
      <c r="I96" s="1" t="s">
        <v>856</v>
      </c>
      <c r="J96" s="4" t="s">
        <v>857</v>
      </c>
    </row>
    <row r="97">
      <c r="A97" s="1"/>
      <c r="B97" s="1" t="s">
        <v>858</v>
      </c>
      <c r="C97" s="1" t="s">
        <v>859</v>
      </c>
      <c r="D97" s="1" t="s">
        <v>860</v>
      </c>
      <c r="E97" s="1" t="s">
        <v>861</v>
      </c>
      <c r="F97" s="1" t="s">
        <v>862</v>
      </c>
      <c r="G97" s="1" t="s">
        <v>863</v>
      </c>
      <c r="H97" s="1" t="s">
        <v>864</v>
      </c>
      <c r="I97" s="1" t="s">
        <v>847</v>
      </c>
      <c r="J97" s="4" t="s">
        <v>865</v>
      </c>
    </row>
    <row r="98">
      <c r="A98" s="1"/>
      <c r="B98" s="1" t="s">
        <v>866</v>
      </c>
      <c r="C98" s="1" t="s">
        <v>867</v>
      </c>
      <c r="D98" s="1" t="s">
        <v>868</v>
      </c>
      <c r="E98" s="1" t="s">
        <v>869</v>
      </c>
      <c r="F98" s="1" t="s">
        <v>870</v>
      </c>
      <c r="G98" s="1" t="s">
        <v>871</v>
      </c>
      <c r="H98" s="1" t="s">
        <v>872</v>
      </c>
      <c r="I98" s="1" t="s">
        <v>873</v>
      </c>
      <c r="J98" s="4" t="s">
        <v>874</v>
      </c>
    </row>
    <row r="99">
      <c r="A99" s="1"/>
      <c r="B99" s="1" t="s">
        <v>875</v>
      </c>
      <c r="C99" s="1" t="s">
        <v>876</v>
      </c>
      <c r="D99" s="1" t="s">
        <v>877</v>
      </c>
      <c r="E99" s="1" t="s">
        <v>878</v>
      </c>
      <c r="F99" s="1" t="s">
        <v>879</v>
      </c>
      <c r="G99" s="1" t="s">
        <v>880</v>
      </c>
      <c r="H99" s="1" t="s">
        <v>881</v>
      </c>
      <c r="I99" s="1" t="s">
        <v>882</v>
      </c>
      <c r="J99" s="4" t="s">
        <v>883</v>
      </c>
    </row>
    <row r="100">
      <c r="A100" s="1"/>
      <c r="B100" s="1" t="s">
        <v>884</v>
      </c>
      <c r="C100" s="1" t="s">
        <v>885</v>
      </c>
      <c r="D100" s="1" t="s">
        <v>886</v>
      </c>
      <c r="E100" s="1" t="s">
        <v>887</v>
      </c>
      <c r="F100" s="1" t="s">
        <v>888</v>
      </c>
      <c r="G100" s="1" t="s">
        <v>889</v>
      </c>
      <c r="H100" s="1" t="s">
        <v>890</v>
      </c>
      <c r="I100" s="1" t="s">
        <v>891</v>
      </c>
      <c r="J100" s="4" t="s">
        <v>892</v>
      </c>
    </row>
    <row r="101">
      <c r="A101" s="1"/>
      <c r="B101" s="1" t="s">
        <v>893</v>
      </c>
      <c r="C101" s="1" t="s">
        <v>894</v>
      </c>
      <c r="D101" s="1" t="s">
        <v>895</v>
      </c>
      <c r="E101" s="1" t="s">
        <v>896</v>
      </c>
      <c r="F101" s="1" t="s">
        <v>897</v>
      </c>
      <c r="G101" s="1" t="s">
        <v>898</v>
      </c>
      <c r="H101" s="1" t="s">
        <v>899</v>
      </c>
      <c r="I101" s="1" t="s">
        <v>900</v>
      </c>
      <c r="J101" s="4" t="s">
        <v>901</v>
      </c>
    </row>
    <row r="102">
      <c r="A102" s="1"/>
      <c r="B102" s="1" t="s">
        <v>902</v>
      </c>
      <c r="C102" s="1" t="s">
        <v>903</v>
      </c>
      <c r="D102" s="1" t="s">
        <v>904</v>
      </c>
      <c r="E102" s="1" t="s">
        <v>905</v>
      </c>
      <c r="F102" s="1" t="s">
        <v>906</v>
      </c>
      <c r="G102" s="1" t="s">
        <v>907</v>
      </c>
      <c r="H102" s="1" t="s">
        <v>908</v>
      </c>
      <c r="I102" s="1" t="s">
        <v>830</v>
      </c>
      <c r="J102" s="4" t="s">
        <v>909</v>
      </c>
    </row>
    <row r="103">
      <c r="A103" s="1"/>
      <c r="B103" s="1" t="s">
        <v>910</v>
      </c>
      <c r="C103" s="1" t="s">
        <v>911</v>
      </c>
      <c r="D103" s="1" t="s">
        <v>912</v>
      </c>
      <c r="E103" s="1" t="s">
        <v>913</v>
      </c>
      <c r="F103" s="1" t="s">
        <v>914</v>
      </c>
      <c r="G103" s="1" t="s">
        <v>915</v>
      </c>
      <c r="H103" s="1" t="s">
        <v>916</v>
      </c>
      <c r="I103" s="1" t="s">
        <v>917</v>
      </c>
      <c r="J103" s="4" t="s">
        <v>918</v>
      </c>
    </row>
    <row r="104">
      <c r="A104" s="1"/>
      <c r="B104" s="1" t="s">
        <v>919</v>
      </c>
      <c r="C104" s="1" t="s">
        <v>920</v>
      </c>
      <c r="D104" s="1" t="s">
        <v>921</v>
      </c>
      <c r="E104" s="1" t="s">
        <v>922</v>
      </c>
      <c r="F104" s="1" t="s">
        <v>923</v>
      </c>
      <c r="G104" s="1" t="s">
        <v>924</v>
      </c>
      <c r="H104" s="1" t="s">
        <v>925</v>
      </c>
      <c r="I104" s="1" t="s">
        <v>926</v>
      </c>
      <c r="J104" s="4" t="s">
        <v>927</v>
      </c>
    </row>
    <row r="105">
      <c r="A105" s="1"/>
      <c r="B105" s="1" t="s">
        <v>928</v>
      </c>
      <c r="C105" s="1" t="s">
        <v>929</v>
      </c>
      <c r="D105" s="1" t="s">
        <v>930</v>
      </c>
      <c r="E105" s="1" t="s">
        <v>931</v>
      </c>
      <c r="F105" s="1" t="s">
        <v>932</v>
      </c>
      <c r="G105" s="1" t="s">
        <v>933</v>
      </c>
      <c r="H105" s="1" t="s">
        <v>934</v>
      </c>
      <c r="I105" s="1" t="s">
        <v>935</v>
      </c>
      <c r="J105" s="4" t="s">
        <v>936</v>
      </c>
    </row>
    <row r="106">
      <c r="A106" s="1"/>
      <c r="B106" s="1" t="s">
        <v>937</v>
      </c>
      <c r="C106" s="1" t="s">
        <v>938</v>
      </c>
      <c r="D106" s="1" t="s">
        <v>939</v>
      </c>
      <c r="E106" s="1" t="s">
        <v>940</v>
      </c>
      <c r="F106" s="1" t="s">
        <v>941</v>
      </c>
      <c r="G106" s="1" t="s">
        <v>942</v>
      </c>
      <c r="H106" s="1" t="s">
        <v>943</v>
      </c>
      <c r="I106" s="1" t="s">
        <v>944</v>
      </c>
      <c r="J106" s="4" t="s">
        <v>945</v>
      </c>
    </row>
    <row r="107">
      <c r="A107" s="1"/>
      <c r="B107" s="1" t="s">
        <v>946</v>
      </c>
      <c r="C107" s="1" t="s">
        <v>947</v>
      </c>
      <c r="D107" s="1" t="s">
        <v>948</v>
      </c>
      <c r="E107" s="1" t="s">
        <v>949</v>
      </c>
      <c r="F107" s="1" t="s">
        <v>950</v>
      </c>
      <c r="G107" s="1" t="s">
        <v>951</v>
      </c>
      <c r="H107" s="1" t="s">
        <v>952</v>
      </c>
      <c r="I107" s="1" t="s">
        <v>953</v>
      </c>
      <c r="J107" s="4" t="s">
        <v>954</v>
      </c>
    </row>
    <row r="108">
      <c r="A108" s="1"/>
      <c r="B108" s="1" t="s">
        <v>955</v>
      </c>
      <c r="C108" s="1" t="s">
        <v>956</v>
      </c>
      <c r="D108" s="1" t="s">
        <v>957</v>
      </c>
      <c r="E108" s="1" t="s">
        <v>958</v>
      </c>
      <c r="F108" s="1" t="s">
        <v>959</v>
      </c>
      <c r="G108" s="1" t="s">
        <v>960</v>
      </c>
      <c r="H108" s="1" t="s">
        <v>961</v>
      </c>
      <c r="I108" s="1" t="s">
        <v>962</v>
      </c>
      <c r="J108" s="4" t="s">
        <v>963</v>
      </c>
    </row>
    <row r="109">
      <c r="A109" s="1"/>
      <c r="B109" s="1" t="s">
        <v>964</v>
      </c>
      <c r="C109" s="1" t="s">
        <v>965</v>
      </c>
      <c r="D109" s="1" t="s">
        <v>966</v>
      </c>
      <c r="E109" s="1" t="s">
        <v>967</v>
      </c>
      <c r="F109" s="1" t="s">
        <v>968</v>
      </c>
      <c r="G109" s="1" t="s">
        <v>969</v>
      </c>
      <c r="H109" s="1" t="s">
        <v>970</v>
      </c>
      <c r="I109" s="1" t="s">
        <v>971</v>
      </c>
      <c r="J109" s="4" t="s">
        <v>972</v>
      </c>
    </row>
    <row r="110">
      <c r="A110" s="1"/>
      <c r="B110" s="1" t="s">
        <v>973</v>
      </c>
      <c r="C110" s="1" t="s">
        <v>974</v>
      </c>
      <c r="D110" s="1" t="s">
        <v>975</v>
      </c>
      <c r="E110" s="1" t="s">
        <v>976</v>
      </c>
      <c r="F110" s="1" t="s">
        <v>977</v>
      </c>
      <c r="G110" s="1" t="s">
        <v>978</v>
      </c>
      <c r="H110" s="1" t="s">
        <v>979</v>
      </c>
      <c r="I110" s="1" t="s">
        <v>980</v>
      </c>
      <c r="J110" s="4" t="s">
        <v>981</v>
      </c>
    </row>
    <row r="111">
      <c r="A111" s="1"/>
      <c r="B111" s="1" t="s">
        <v>982</v>
      </c>
      <c r="C111" s="1" t="s">
        <v>983</v>
      </c>
      <c r="D111" s="1" t="s">
        <v>984</v>
      </c>
      <c r="E111" s="1" t="s">
        <v>985</v>
      </c>
      <c r="F111" s="1" t="s">
        <v>986</v>
      </c>
      <c r="G111" s="1" t="s">
        <v>987</v>
      </c>
      <c r="H111" s="1" t="s">
        <v>988</v>
      </c>
      <c r="I111" s="1" t="s">
        <v>989</v>
      </c>
      <c r="J111" s="4" t="s">
        <v>990</v>
      </c>
    </row>
    <row r="112">
      <c r="A112" s="1"/>
      <c r="B112" s="1" t="s">
        <v>991</v>
      </c>
      <c r="C112" s="1" t="s">
        <v>992</v>
      </c>
      <c r="D112" s="1" t="s">
        <v>993</v>
      </c>
      <c r="E112" s="1" t="s">
        <v>994</v>
      </c>
      <c r="F112" s="1" t="s">
        <v>995</v>
      </c>
      <c r="G112" s="1" t="s">
        <v>996</v>
      </c>
      <c r="H112" s="1" t="s">
        <v>997</v>
      </c>
      <c r="I112" s="1" t="s">
        <v>998</v>
      </c>
      <c r="J112" s="4" t="s">
        <v>999</v>
      </c>
    </row>
    <row r="113">
      <c r="A113" s="1"/>
      <c r="B113" s="1" t="s">
        <v>1000</v>
      </c>
      <c r="C113" s="1" t="s">
        <v>1001</v>
      </c>
      <c r="D113" s="1" t="s">
        <v>1002</v>
      </c>
      <c r="E113" s="1" t="s">
        <v>1003</v>
      </c>
      <c r="F113" s="1" t="s">
        <v>1004</v>
      </c>
      <c r="G113" s="1" t="s">
        <v>1005</v>
      </c>
      <c r="H113" s="1" t="s">
        <v>1006</v>
      </c>
      <c r="I113" s="1" t="s">
        <v>1007</v>
      </c>
      <c r="J113" s="4" t="s">
        <v>1008</v>
      </c>
    </row>
    <row r="114">
      <c r="A114" s="1"/>
      <c r="B114" s="1" t="s">
        <v>1009</v>
      </c>
      <c r="C114" s="1" t="s">
        <v>1010</v>
      </c>
      <c r="D114" s="1" t="s">
        <v>1011</v>
      </c>
      <c r="E114" s="1" t="s">
        <v>1012</v>
      </c>
      <c r="F114" s="1" t="s">
        <v>1013</v>
      </c>
      <c r="G114" s="1" t="s">
        <v>1014</v>
      </c>
      <c r="H114" s="1" t="s">
        <v>1015</v>
      </c>
      <c r="I114" s="1" t="s">
        <v>1016</v>
      </c>
      <c r="J114" s="4" t="s">
        <v>1017</v>
      </c>
    </row>
    <row r="115">
      <c r="A115" s="1"/>
      <c r="B115" s="1" t="s">
        <v>1018</v>
      </c>
      <c r="C115" s="1" t="s">
        <v>1019</v>
      </c>
      <c r="D115" s="1" t="s">
        <v>1020</v>
      </c>
      <c r="E115" s="1" t="s">
        <v>1021</v>
      </c>
      <c r="F115" s="1" t="s">
        <v>1022</v>
      </c>
      <c r="G115" s="1" t="s">
        <v>1023</v>
      </c>
      <c r="H115" s="1" t="s">
        <v>1024</v>
      </c>
      <c r="I115" s="1" t="s">
        <v>1025</v>
      </c>
      <c r="J115" s="4" t="s">
        <v>1026</v>
      </c>
    </row>
    <row r="116">
      <c r="A116" s="1"/>
      <c r="B116" s="1" t="s">
        <v>1027</v>
      </c>
      <c r="C116" s="1" t="s">
        <v>1028</v>
      </c>
      <c r="D116" s="1" t="s">
        <v>1029</v>
      </c>
      <c r="E116" s="1" t="s">
        <v>1030</v>
      </c>
      <c r="F116" s="1" t="s">
        <v>1031</v>
      </c>
      <c r="G116" s="1" t="s">
        <v>1032</v>
      </c>
      <c r="H116" s="1" t="s">
        <v>1033</v>
      </c>
      <c r="I116" s="1" t="s">
        <v>830</v>
      </c>
      <c r="J116" s="4" t="s">
        <v>1034</v>
      </c>
    </row>
    <row r="117">
      <c r="A117" s="1"/>
      <c r="B117" s="1" t="s">
        <v>1035</v>
      </c>
      <c r="C117" s="1" t="s">
        <v>1036</v>
      </c>
      <c r="D117" s="1" t="s">
        <v>1037</v>
      </c>
      <c r="E117" s="1" t="s">
        <v>1038</v>
      </c>
      <c r="F117" s="1" t="s">
        <v>1039</v>
      </c>
      <c r="G117" s="1" t="s">
        <v>1040</v>
      </c>
      <c r="H117" s="1" t="s">
        <v>1041</v>
      </c>
      <c r="I117" s="1" t="s">
        <v>1042</v>
      </c>
      <c r="J117" s="4" t="s">
        <v>1043</v>
      </c>
    </row>
    <row r="118">
      <c r="A118" s="1"/>
      <c r="B118" s="1" t="s">
        <v>1044</v>
      </c>
      <c r="C118" s="1" t="s">
        <v>450</v>
      </c>
      <c r="D118" s="1" t="s">
        <v>1045</v>
      </c>
      <c r="E118" s="1" t="s">
        <v>1046</v>
      </c>
      <c r="F118" s="1" t="s">
        <v>1047</v>
      </c>
      <c r="G118" s="1" t="s">
        <v>1048</v>
      </c>
      <c r="H118" s="1" t="s">
        <v>1049</v>
      </c>
      <c r="I118" s="1" t="s">
        <v>1050</v>
      </c>
      <c r="J118" s="4" t="s">
        <v>1051</v>
      </c>
    </row>
    <row r="119">
      <c r="A119" s="1"/>
      <c r="B119" s="1" t="s">
        <v>1052</v>
      </c>
      <c r="C119" s="1" t="s">
        <v>1053</v>
      </c>
      <c r="D119" s="1" t="s">
        <v>1054</v>
      </c>
      <c r="E119" s="1" t="s">
        <v>1055</v>
      </c>
      <c r="F119" s="1" t="s">
        <v>1056</v>
      </c>
      <c r="G119" s="1" t="s">
        <v>1057</v>
      </c>
      <c r="H119" s="1" t="s">
        <v>1058</v>
      </c>
      <c r="I119" s="1" t="s">
        <v>1059</v>
      </c>
      <c r="J119" s="4" t="s">
        <v>1060</v>
      </c>
    </row>
    <row r="120">
      <c r="A120" s="1"/>
      <c r="B120" s="1" t="s">
        <v>1061</v>
      </c>
      <c r="C120" s="1" t="s">
        <v>1062</v>
      </c>
      <c r="D120" s="1" t="s">
        <v>1063</v>
      </c>
      <c r="E120" s="1" t="s">
        <v>1064</v>
      </c>
      <c r="F120" s="1" t="s">
        <v>1065</v>
      </c>
      <c r="G120" s="1" t="s">
        <v>1066</v>
      </c>
      <c r="H120" s="1" t="s">
        <v>1067</v>
      </c>
      <c r="I120" s="1" t="s">
        <v>1068</v>
      </c>
      <c r="J120" s="4" t="s">
        <v>1069</v>
      </c>
    </row>
    <row r="121">
      <c r="A121" s="1"/>
      <c r="B121" s="1" t="s">
        <v>1070</v>
      </c>
      <c r="C121" s="1" t="s">
        <v>1071</v>
      </c>
      <c r="D121" s="1" t="s">
        <v>1072</v>
      </c>
      <c r="E121" s="1" t="s">
        <v>1073</v>
      </c>
      <c r="F121" s="1" t="s">
        <v>1074</v>
      </c>
      <c r="G121" s="1" t="s">
        <v>1075</v>
      </c>
      <c r="H121" s="1" t="s">
        <v>1076</v>
      </c>
      <c r="I121" s="1" t="s">
        <v>847</v>
      </c>
      <c r="J121" s="4" t="s">
        <v>1077</v>
      </c>
    </row>
    <row r="122">
      <c r="A122" s="1"/>
      <c r="B122" s="1" t="s">
        <v>1078</v>
      </c>
      <c r="C122" s="1" t="s">
        <v>1079</v>
      </c>
      <c r="D122" s="1" t="s">
        <v>1080</v>
      </c>
      <c r="E122" s="1" t="s">
        <v>1081</v>
      </c>
      <c r="F122" s="1" t="s">
        <v>1082</v>
      </c>
      <c r="G122" s="1" t="s">
        <v>1083</v>
      </c>
      <c r="H122" s="1" t="s">
        <v>1084</v>
      </c>
      <c r="I122" s="1" t="s">
        <v>1085</v>
      </c>
      <c r="J122" s="4" t="s">
        <v>1086</v>
      </c>
    </row>
    <row r="123">
      <c r="A123" s="1"/>
      <c r="B123" s="1" t="s">
        <v>1087</v>
      </c>
      <c r="C123" s="1" t="s">
        <v>1088</v>
      </c>
      <c r="D123" s="1" t="s">
        <v>1089</v>
      </c>
      <c r="E123" s="1" t="s">
        <v>1090</v>
      </c>
      <c r="F123" s="1" t="s">
        <v>1091</v>
      </c>
      <c r="G123" s="1" t="s">
        <v>1092</v>
      </c>
      <c r="H123" s="1" t="s">
        <v>1093</v>
      </c>
      <c r="I123" s="1" t="s">
        <v>1094</v>
      </c>
      <c r="J123" s="4" t="s">
        <v>1095</v>
      </c>
    </row>
    <row r="124">
      <c r="A124" s="1"/>
      <c r="B124" s="1" t="s">
        <v>1096</v>
      </c>
      <c r="C124" s="1" t="s">
        <v>1097</v>
      </c>
      <c r="D124" s="1" t="s">
        <v>1098</v>
      </c>
      <c r="E124" s="1" t="s">
        <v>1099</v>
      </c>
      <c r="F124" s="1" t="s">
        <v>1100</v>
      </c>
      <c r="G124" s="1" t="s">
        <v>1101</v>
      </c>
      <c r="H124" s="1" t="s">
        <v>1102</v>
      </c>
      <c r="I124" s="1" t="s">
        <v>1103</v>
      </c>
      <c r="J124" s="4" t="s">
        <v>1104</v>
      </c>
    </row>
    <row r="125">
      <c r="A125" s="1"/>
      <c r="B125" s="1" t="s">
        <v>1105</v>
      </c>
      <c r="C125" s="1" t="s">
        <v>1106</v>
      </c>
      <c r="D125" s="1" t="s">
        <v>1107</v>
      </c>
      <c r="E125" s="1" t="s">
        <v>1108</v>
      </c>
      <c r="F125" s="1" t="s">
        <v>1109</v>
      </c>
      <c r="G125" s="1" t="s">
        <v>1110</v>
      </c>
      <c r="H125" s="1" t="s">
        <v>1111</v>
      </c>
      <c r="I125" s="1" t="s">
        <v>1112</v>
      </c>
      <c r="J125" s="4" t="s">
        <v>1113</v>
      </c>
    </row>
    <row r="126">
      <c r="A126" s="1"/>
      <c r="B126" s="1" t="s">
        <v>1114</v>
      </c>
      <c r="C126" s="1" t="s">
        <v>1115</v>
      </c>
      <c r="D126" s="1" t="s">
        <v>1116</v>
      </c>
      <c r="E126" s="1" t="s">
        <v>1117</v>
      </c>
      <c r="F126" s="1" t="s">
        <v>1118</v>
      </c>
      <c r="G126" s="1" t="s">
        <v>1119</v>
      </c>
      <c r="H126" s="1" t="s">
        <v>1120</v>
      </c>
      <c r="I126" s="1" t="s">
        <v>873</v>
      </c>
      <c r="J126" s="4" t="s">
        <v>1121</v>
      </c>
    </row>
    <row r="127">
      <c r="A127" s="1"/>
      <c r="B127" s="1" t="s">
        <v>1122</v>
      </c>
      <c r="C127" s="1" t="s">
        <v>1123</v>
      </c>
      <c r="D127" s="1" t="s">
        <v>1124</v>
      </c>
      <c r="E127" s="1" t="s">
        <v>1125</v>
      </c>
      <c r="F127" s="1" t="s">
        <v>1126</v>
      </c>
      <c r="G127" s="1" t="s">
        <v>1127</v>
      </c>
      <c r="H127" s="1" t="s">
        <v>1128</v>
      </c>
      <c r="I127" s="1" t="s">
        <v>1129</v>
      </c>
      <c r="J127" s="4" t="s">
        <v>1130</v>
      </c>
    </row>
    <row r="128">
      <c r="A128" s="1"/>
      <c r="B128" s="1" t="s">
        <v>1131</v>
      </c>
      <c r="C128" s="1" t="s">
        <v>1132</v>
      </c>
      <c r="D128" s="1" t="s">
        <v>1133</v>
      </c>
      <c r="E128" s="1" t="s">
        <v>1134</v>
      </c>
      <c r="F128" s="1" t="s">
        <v>1135</v>
      </c>
      <c r="G128" s="1" t="s">
        <v>1136</v>
      </c>
      <c r="H128" s="1" t="s">
        <v>1137</v>
      </c>
      <c r="I128" s="1" t="s">
        <v>1138</v>
      </c>
      <c r="J128" s="4" t="s">
        <v>1139</v>
      </c>
    </row>
    <row r="129">
      <c r="A129" s="1"/>
      <c r="B129" s="1" t="s">
        <v>1140</v>
      </c>
      <c r="C129" s="1" t="s">
        <v>1141</v>
      </c>
      <c r="D129" s="1" t="s">
        <v>1142</v>
      </c>
      <c r="E129" s="1" t="s">
        <v>1143</v>
      </c>
      <c r="F129" s="1" t="s">
        <v>1144</v>
      </c>
      <c r="G129" s="1" t="s">
        <v>1145</v>
      </c>
      <c r="H129" s="1" t="s">
        <v>1146</v>
      </c>
      <c r="I129" s="1" t="s">
        <v>873</v>
      </c>
      <c r="J129" s="4" t="s">
        <v>1147</v>
      </c>
    </row>
    <row r="130">
      <c r="A130" s="1"/>
      <c r="B130" s="1" t="s">
        <v>1148</v>
      </c>
      <c r="C130" s="1" t="s">
        <v>1149</v>
      </c>
      <c r="D130" s="1" t="s">
        <v>1150</v>
      </c>
      <c r="E130" s="1" t="s">
        <v>1151</v>
      </c>
      <c r="F130" s="1" t="s">
        <v>1152</v>
      </c>
      <c r="G130" s="1" t="s">
        <v>1153</v>
      </c>
      <c r="H130" s="1" t="s">
        <v>1154</v>
      </c>
      <c r="I130" s="1" t="s">
        <v>1155</v>
      </c>
      <c r="J130" s="4" t="s">
        <v>1156</v>
      </c>
    </row>
    <row r="131">
      <c r="A131" s="1"/>
      <c r="B131" s="1" t="s">
        <v>1157</v>
      </c>
      <c r="C131" s="1" t="s">
        <v>1158</v>
      </c>
      <c r="D131" s="1" t="s">
        <v>1159</v>
      </c>
      <c r="E131" s="1" t="s">
        <v>1160</v>
      </c>
      <c r="F131" s="1" t="s">
        <v>1161</v>
      </c>
      <c r="G131" s="1" t="s">
        <v>1162</v>
      </c>
      <c r="H131" s="1" t="s">
        <v>1163</v>
      </c>
      <c r="I131" s="1" t="s">
        <v>1164</v>
      </c>
      <c r="J131" s="4" t="s">
        <v>1165</v>
      </c>
    </row>
    <row r="132">
      <c r="A132" s="1"/>
      <c r="B132" s="1" t="s">
        <v>1166</v>
      </c>
      <c r="C132" s="1" t="s">
        <v>1167</v>
      </c>
      <c r="D132" s="1" t="s">
        <v>1168</v>
      </c>
      <c r="E132" s="1" t="s">
        <v>1169</v>
      </c>
      <c r="F132" s="1" t="s">
        <v>1170</v>
      </c>
      <c r="G132" s="1" t="s">
        <v>1171</v>
      </c>
      <c r="H132" s="1" t="s">
        <v>1172</v>
      </c>
      <c r="I132" s="1" t="s">
        <v>1173</v>
      </c>
      <c r="J132" s="4" t="s">
        <v>1174</v>
      </c>
    </row>
    <row r="133">
      <c r="A133" s="1"/>
      <c r="B133" s="1" t="s">
        <v>323</v>
      </c>
      <c r="C133" s="1" t="s">
        <v>1175</v>
      </c>
      <c r="D133" s="1" t="s">
        <v>1176</v>
      </c>
      <c r="E133" s="1" t="s">
        <v>1177</v>
      </c>
      <c r="F133" s="1" t="s">
        <v>1178</v>
      </c>
      <c r="G133" s="1" t="s">
        <v>1179</v>
      </c>
      <c r="H133" s="1" t="s">
        <v>1180</v>
      </c>
      <c r="I133" s="1" t="s">
        <v>1181</v>
      </c>
      <c r="J133" s="4" t="s">
        <v>331</v>
      </c>
    </row>
    <row r="134">
      <c r="A134" s="1"/>
      <c r="B134" s="1" t="s">
        <v>1182</v>
      </c>
      <c r="C134" s="1" t="s">
        <v>1183</v>
      </c>
      <c r="D134" s="1" t="s">
        <v>1184</v>
      </c>
      <c r="E134" s="1" t="s">
        <v>1185</v>
      </c>
      <c r="F134" s="1" t="s">
        <v>1186</v>
      </c>
      <c r="G134" s="1" t="s">
        <v>1187</v>
      </c>
      <c r="H134" s="1" t="s">
        <v>1188</v>
      </c>
      <c r="I134" s="1" t="s">
        <v>1189</v>
      </c>
      <c r="J134" s="4" t="s">
        <v>1190</v>
      </c>
    </row>
    <row r="135">
      <c r="A135" s="8"/>
      <c r="B135" s="8" t="s">
        <v>1191</v>
      </c>
      <c r="C135" s="1" t="s">
        <v>1192</v>
      </c>
      <c r="D135" s="1" t="s">
        <v>1193</v>
      </c>
      <c r="E135" s="1" t="s">
        <v>1194</v>
      </c>
      <c r="F135" s="1" t="s">
        <v>1195</v>
      </c>
      <c r="G135" s="1" t="s">
        <v>1196</v>
      </c>
      <c r="H135" s="1" t="s">
        <v>1197</v>
      </c>
      <c r="I135" s="1" t="s">
        <v>1198</v>
      </c>
      <c r="J135" s="4" t="s">
        <v>1199</v>
      </c>
    </row>
    <row r="136">
      <c r="A136" s="1"/>
      <c r="B136" s="1" t="s">
        <v>1200</v>
      </c>
      <c r="C136" s="1" t="s">
        <v>1201</v>
      </c>
      <c r="D136" s="1" t="s">
        <v>1202</v>
      </c>
      <c r="E136" s="1" t="s">
        <v>1203</v>
      </c>
      <c r="F136" s="1" t="s">
        <v>1204</v>
      </c>
      <c r="G136" s="1" t="s">
        <v>1205</v>
      </c>
      <c r="H136" s="1" t="s">
        <v>1206</v>
      </c>
      <c r="I136" s="1" t="s">
        <v>1207</v>
      </c>
      <c r="J136" s="4" t="s">
        <v>1208</v>
      </c>
    </row>
    <row r="137">
      <c r="A137" s="1"/>
      <c r="B137" s="1" t="s">
        <v>1209</v>
      </c>
      <c r="C137" s="1" t="s">
        <v>1210</v>
      </c>
      <c r="D137" s="1" t="s">
        <v>1211</v>
      </c>
      <c r="E137" s="1" t="s">
        <v>1212</v>
      </c>
      <c r="F137" s="1" t="s">
        <v>1213</v>
      </c>
      <c r="G137" s="1" t="s">
        <v>1214</v>
      </c>
      <c r="H137" s="1" t="s">
        <v>1215</v>
      </c>
      <c r="I137" s="1" t="s">
        <v>830</v>
      </c>
      <c r="J137" s="4" t="s">
        <v>1216</v>
      </c>
    </row>
    <row r="138">
      <c r="A138" s="1"/>
      <c r="B138" s="1" t="s">
        <v>1217</v>
      </c>
      <c r="C138" s="1" t="s">
        <v>1218</v>
      </c>
      <c r="D138" s="1" t="s">
        <v>1219</v>
      </c>
      <c r="E138" s="1" t="s">
        <v>1220</v>
      </c>
      <c r="F138" s="1" t="s">
        <v>1221</v>
      </c>
      <c r="G138" s="1" t="s">
        <v>1222</v>
      </c>
      <c r="H138" s="1" t="s">
        <v>1223</v>
      </c>
      <c r="I138" s="1" t="s">
        <v>1224</v>
      </c>
      <c r="J138" s="4" t="s">
        <v>421</v>
      </c>
    </row>
    <row r="139">
      <c r="A139" s="1"/>
      <c r="B139" s="1" t="s">
        <v>1225</v>
      </c>
      <c r="C139" s="1" t="s">
        <v>1226</v>
      </c>
      <c r="D139" s="1" t="s">
        <v>1227</v>
      </c>
      <c r="E139" s="1" t="s">
        <v>1228</v>
      </c>
      <c r="F139" s="1" t="s">
        <v>1229</v>
      </c>
      <c r="G139" s="1" t="s">
        <v>1230</v>
      </c>
      <c r="H139" s="1" t="s">
        <v>1231</v>
      </c>
      <c r="I139" s="1" t="s">
        <v>1232</v>
      </c>
      <c r="J139" s="4" t="s">
        <v>1233</v>
      </c>
    </row>
    <row r="140">
      <c r="A140" s="1"/>
      <c r="B140" s="1" t="s">
        <v>1234</v>
      </c>
      <c r="C140" s="1" t="s">
        <v>1235</v>
      </c>
      <c r="D140" s="1" t="s">
        <v>1236</v>
      </c>
      <c r="E140" s="1" t="s">
        <v>1237</v>
      </c>
      <c r="F140" s="1" t="s">
        <v>1238</v>
      </c>
      <c r="G140" s="1" t="s">
        <v>1239</v>
      </c>
      <c r="H140" s="1" t="s">
        <v>1240</v>
      </c>
      <c r="I140" s="1" t="s">
        <v>1241</v>
      </c>
      <c r="J140" s="4" t="s">
        <v>1242</v>
      </c>
    </row>
    <row r="141">
      <c r="A141" s="1"/>
      <c r="B141" s="1" t="s">
        <v>1243</v>
      </c>
      <c r="C141" s="1" t="s">
        <v>1244</v>
      </c>
      <c r="D141" s="1" t="s">
        <v>1245</v>
      </c>
      <c r="E141" s="1" t="s">
        <v>1246</v>
      </c>
      <c r="F141" s="1" t="s">
        <v>827</v>
      </c>
      <c r="G141" s="1" t="s">
        <v>1247</v>
      </c>
      <c r="H141" s="1" t="s">
        <v>1248</v>
      </c>
      <c r="I141" s="1" t="s">
        <v>1249</v>
      </c>
      <c r="J141" s="4" t="s">
        <v>1250</v>
      </c>
    </row>
    <row r="142">
      <c r="A142" s="1"/>
      <c r="B142" s="1" t="s">
        <v>1251</v>
      </c>
      <c r="C142" s="1" t="s">
        <v>1252</v>
      </c>
      <c r="D142" s="1" t="s">
        <v>1253</v>
      </c>
      <c r="E142" s="1" t="s">
        <v>1254</v>
      </c>
      <c r="F142" s="1" t="s">
        <v>1255</v>
      </c>
      <c r="G142" s="1" t="s">
        <v>1256</v>
      </c>
      <c r="H142" s="1" t="s">
        <v>1257</v>
      </c>
      <c r="I142" s="1" t="s">
        <v>633</v>
      </c>
      <c r="J142" s="4" t="s">
        <v>1258</v>
      </c>
    </row>
    <row r="143">
      <c r="A143" s="1"/>
      <c r="B143" s="1" t="s">
        <v>1259</v>
      </c>
      <c r="C143" s="1" t="s">
        <v>1260</v>
      </c>
      <c r="D143" s="1" t="s">
        <v>1261</v>
      </c>
      <c r="E143" s="1" t="s">
        <v>1262</v>
      </c>
      <c r="F143" s="1" t="s">
        <v>1263</v>
      </c>
      <c r="G143" s="1" t="s">
        <v>1264</v>
      </c>
      <c r="H143" s="1" t="s">
        <v>1265</v>
      </c>
      <c r="I143" s="1" t="s">
        <v>1266</v>
      </c>
      <c r="J143" s="4" t="s">
        <v>1267</v>
      </c>
    </row>
    <row r="144">
      <c r="A144" s="1"/>
      <c r="B144" s="1" t="s">
        <v>1268</v>
      </c>
      <c r="C144" s="1" t="s">
        <v>1269</v>
      </c>
      <c r="D144" s="1" t="s">
        <v>1270</v>
      </c>
      <c r="E144" s="1" t="s">
        <v>1271</v>
      </c>
      <c r="F144" s="1" t="s">
        <v>1272</v>
      </c>
      <c r="G144" s="1" t="s">
        <v>1273</v>
      </c>
      <c r="H144" s="1" t="s">
        <v>1274</v>
      </c>
      <c r="I144" s="1" t="s">
        <v>1275</v>
      </c>
      <c r="J144" s="4" t="s">
        <v>1276</v>
      </c>
    </row>
    <row r="145">
      <c r="A145" s="1"/>
      <c r="B145" s="1" t="s">
        <v>1277</v>
      </c>
      <c r="C145" s="1" t="s">
        <v>1278</v>
      </c>
      <c r="D145" s="1" t="s">
        <v>1279</v>
      </c>
      <c r="E145" s="1" t="s">
        <v>1280</v>
      </c>
      <c r="F145" s="1" t="s">
        <v>1281</v>
      </c>
      <c r="G145" s="1" t="s">
        <v>622</v>
      </c>
      <c r="H145" s="1" t="s">
        <v>1282</v>
      </c>
      <c r="I145" s="1" t="s">
        <v>873</v>
      </c>
      <c r="J145" s="4" t="s">
        <v>1283</v>
      </c>
    </row>
    <row r="146">
      <c r="A146" s="1"/>
      <c r="B146" s="1" t="s">
        <v>1284</v>
      </c>
      <c r="C146" s="1" t="s">
        <v>1285</v>
      </c>
      <c r="D146" s="1" t="s">
        <v>1286</v>
      </c>
      <c r="E146" s="1" t="s">
        <v>1228</v>
      </c>
      <c r="F146" s="1" t="s">
        <v>1287</v>
      </c>
      <c r="G146" s="1" t="s">
        <v>1230</v>
      </c>
      <c r="H146" s="1" t="s">
        <v>1288</v>
      </c>
      <c r="I146" s="1" t="s">
        <v>847</v>
      </c>
      <c r="J146" s="4" t="s">
        <v>1289</v>
      </c>
    </row>
    <row r="147">
      <c r="A147" s="1"/>
      <c r="B147" s="1" t="s">
        <v>1290</v>
      </c>
      <c r="C147" s="1" t="s">
        <v>1291</v>
      </c>
      <c r="D147" s="1" t="s">
        <v>1292</v>
      </c>
      <c r="E147" s="1" t="s">
        <v>1293</v>
      </c>
      <c r="F147" s="1" t="s">
        <v>1294</v>
      </c>
      <c r="G147" s="1" t="s">
        <v>1295</v>
      </c>
      <c r="H147" s="1" t="s">
        <v>1296</v>
      </c>
      <c r="I147" s="1" t="s">
        <v>1297</v>
      </c>
      <c r="J147" s="4" t="s">
        <v>1298</v>
      </c>
    </row>
    <row r="148">
      <c r="A148" s="1"/>
      <c r="B148" s="1" t="s">
        <v>1299</v>
      </c>
      <c r="C148" s="1" t="s">
        <v>1300</v>
      </c>
      <c r="D148" s="1" t="s">
        <v>1301</v>
      </c>
      <c r="E148" s="1" t="s">
        <v>1302</v>
      </c>
      <c r="F148" s="1" t="s">
        <v>1303</v>
      </c>
      <c r="G148" s="1" t="s">
        <v>1304</v>
      </c>
      <c r="H148" s="1" t="s">
        <v>1305</v>
      </c>
      <c r="I148" s="1" t="s">
        <v>1306</v>
      </c>
      <c r="J148" s="4" t="s">
        <v>385</v>
      </c>
    </row>
    <row r="149">
      <c r="A149" s="1"/>
      <c r="B149" s="1" t="s">
        <v>1307</v>
      </c>
      <c r="C149" s="1" t="s">
        <v>1308</v>
      </c>
      <c r="D149" s="1" t="s">
        <v>1309</v>
      </c>
      <c r="E149" s="1" t="s">
        <v>1310</v>
      </c>
      <c r="F149" s="1" t="s">
        <v>1311</v>
      </c>
      <c r="G149" s="1" t="s">
        <v>1312</v>
      </c>
      <c r="H149" s="1" t="s">
        <v>1313</v>
      </c>
      <c r="I149" s="1" t="s">
        <v>856</v>
      </c>
      <c r="J149" s="4" t="s">
        <v>1314</v>
      </c>
    </row>
    <row r="150">
      <c r="A150" s="1"/>
      <c r="B150" s="1" t="s">
        <v>1315</v>
      </c>
      <c r="C150" s="1" t="s">
        <v>1316</v>
      </c>
      <c r="D150" s="1" t="s">
        <v>1317</v>
      </c>
      <c r="E150" s="1" t="s">
        <v>1318</v>
      </c>
      <c r="F150" s="1" t="s">
        <v>1319</v>
      </c>
      <c r="G150" s="1" t="s">
        <v>1320</v>
      </c>
      <c r="H150" s="1" t="s">
        <v>1321</v>
      </c>
      <c r="I150" s="1" t="s">
        <v>776</v>
      </c>
      <c r="J150" s="4" t="s">
        <v>1322</v>
      </c>
    </row>
    <row r="151">
      <c r="A151" s="1"/>
      <c r="B151" s="1" t="s">
        <v>1323</v>
      </c>
      <c r="C151" s="1" t="s">
        <v>1324</v>
      </c>
      <c r="D151" s="1" t="s">
        <v>1325</v>
      </c>
      <c r="E151" s="1" t="s">
        <v>1326</v>
      </c>
      <c r="F151" s="1" t="s">
        <v>1327</v>
      </c>
      <c r="G151" s="1" t="s">
        <v>1328</v>
      </c>
      <c r="H151" s="1" t="s">
        <v>1329</v>
      </c>
      <c r="I151" s="1" t="s">
        <v>1330</v>
      </c>
      <c r="J151" s="4" t="s">
        <v>1331</v>
      </c>
    </row>
    <row r="152">
      <c r="A152" s="1"/>
      <c r="B152" s="1" t="s">
        <v>1332</v>
      </c>
      <c r="C152" s="1" t="s">
        <v>1333</v>
      </c>
      <c r="D152" s="1" t="s">
        <v>1334</v>
      </c>
      <c r="E152" s="1" t="s">
        <v>1335</v>
      </c>
      <c r="F152" s="1" t="s">
        <v>1336</v>
      </c>
      <c r="G152" s="1" t="s">
        <v>1337</v>
      </c>
      <c r="H152" s="1" t="s">
        <v>1338</v>
      </c>
      <c r="I152" s="1" t="s">
        <v>1339</v>
      </c>
      <c r="J152" s="4" t="s">
        <v>1340</v>
      </c>
    </row>
    <row r="153">
      <c r="A153" s="1"/>
      <c r="B153" s="1" t="s">
        <v>1341</v>
      </c>
      <c r="C153" s="1" t="s">
        <v>1342</v>
      </c>
      <c r="D153" s="1" t="s">
        <v>1343</v>
      </c>
      <c r="E153" s="1" t="s">
        <v>1344</v>
      </c>
      <c r="F153" s="1" t="s">
        <v>1345</v>
      </c>
      <c r="G153" s="1" t="s">
        <v>1346</v>
      </c>
      <c r="H153" s="1" t="s">
        <v>1347</v>
      </c>
      <c r="I153" s="1" t="s">
        <v>1348</v>
      </c>
      <c r="J153" s="4" t="s">
        <v>1349</v>
      </c>
    </row>
    <row r="154">
      <c r="A154" s="1"/>
      <c r="B154" s="1" t="s">
        <v>1350</v>
      </c>
      <c r="C154" s="1" t="s">
        <v>1351</v>
      </c>
      <c r="D154" s="1" t="s">
        <v>1352</v>
      </c>
      <c r="E154" s="1" t="s">
        <v>1353</v>
      </c>
      <c r="F154" s="1" t="s">
        <v>1354</v>
      </c>
      <c r="G154" s="1" t="s">
        <v>1355</v>
      </c>
      <c r="H154" s="1" t="s">
        <v>1356</v>
      </c>
      <c r="I154" s="1" t="s">
        <v>1357</v>
      </c>
      <c r="J154" s="4" t="s">
        <v>1358</v>
      </c>
    </row>
    <row r="155">
      <c r="A155" s="1"/>
      <c r="B155" s="1" t="s">
        <v>1359</v>
      </c>
      <c r="C155" s="1" t="s">
        <v>1360</v>
      </c>
      <c r="D155" s="1" t="s">
        <v>1361</v>
      </c>
      <c r="E155" s="1" t="s">
        <v>1362</v>
      </c>
      <c r="F155" s="1" t="s">
        <v>1363</v>
      </c>
      <c r="G155" s="1" t="s">
        <v>1364</v>
      </c>
      <c r="H155" s="1" t="s">
        <v>1365</v>
      </c>
      <c r="I155" s="1" t="s">
        <v>1366</v>
      </c>
      <c r="J155" s="4" t="s">
        <v>1367</v>
      </c>
    </row>
    <row r="156">
      <c r="A156" s="1"/>
      <c r="B156" s="1" t="s">
        <v>1368</v>
      </c>
      <c r="C156" s="1" t="s">
        <v>1369</v>
      </c>
      <c r="D156" s="1" t="s">
        <v>1370</v>
      </c>
      <c r="E156" s="1" t="s">
        <v>1371</v>
      </c>
      <c r="F156" s="1" t="s">
        <v>1372</v>
      </c>
      <c r="G156" s="1" t="s">
        <v>1373</v>
      </c>
      <c r="H156" s="1" t="s">
        <v>1374</v>
      </c>
      <c r="I156" s="1" t="s">
        <v>1375</v>
      </c>
      <c r="J156" s="4" t="s">
        <v>1376</v>
      </c>
    </row>
    <row r="157">
      <c r="A157" s="1"/>
      <c r="B157" s="1" t="s">
        <v>1377</v>
      </c>
      <c r="C157" s="1" t="s">
        <v>1378</v>
      </c>
      <c r="D157" s="1" t="s">
        <v>1379</v>
      </c>
      <c r="E157" s="1" t="s">
        <v>1380</v>
      </c>
      <c r="F157" s="1" t="s">
        <v>1381</v>
      </c>
      <c r="G157" s="1" t="s">
        <v>1382</v>
      </c>
      <c r="H157" s="1" t="s">
        <v>1383</v>
      </c>
      <c r="I157" s="1" t="s">
        <v>1384</v>
      </c>
      <c r="J157" s="4" t="s">
        <v>1385</v>
      </c>
    </row>
    <row r="158">
      <c r="A158" s="1"/>
      <c r="B158" s="1" t="s">
        <v>1386</v>
      </c>
      <c r="C158" s="1" t="s">
        <v>1387</v>
      </c>
      <c r="D158" s="1" t="s">
        <v>1388</v>
      </c>
      <c r="E158" s="1" t="s">
        <v>1389</v>
      </c>
      <c r="F158" s="1" t="s">
        <v>1390</v>
      </c>
      <c r="G158" s="1" t="s">
        <v>1391</v>
      </c>
      <c r="H158" s="1" t="s">
        <v>1392</v>
      </c>
      <c r="I158" s="1" t="s">
        <v>1393</v>
      </c>
      <c r="J158" s="4" t="s">
        <v>1394</v>
      </c>
    </row>
    <row r="159">
      <c r="A159" s="1"/>
      <c r="B159" s="1" t="s">
        <v>1395</v>
      </c>
      <c r="C159" s="1" t="s">
        <v>1396</v>
      </c>
      <c r="D159" s="1" t="s">
        <v>1397</v>
      </c>
      <c r="E159" s="1" t="s">
        <v>1398</v>
      </c>
      <c r="F159" s="1" t="s">
        <v>1399</v>
      </c>
      <c r="G159" s="1" t="s">
        <v>1400</v>
      </c>
      <c r="H159" s="1" t="s">
        <v>1401</v>
      </c>
      <c r="I159" s="1" t="s">
        <v>1402</v>
      </c>
      <c r="J159" s="4" t="s">
        <v>1403</v>
      </c>
    </row>
    <row r="160">
      <c r="A160" s="1"/>
      <c r="B160" s="1" t="s">
        <v>1404</v>
      </c>
      <c r="C160" s="1" t="s">
        <v>1405</v>
      </c>
      <c r="D160" s="1" t="s">
        <v>1406</v>
      </c>
      <c r="E160" s="1" t="s">
        <v>1407</v>
      </c>
      <c r="F160" s="1" t="s">
        <v>1408</v>
      </c>
      <c r="G160" s="1" t="s">
        <v>1409</v>
      </c>
      <c r="H160" s="1" t="s">
        <v>1410</v>
      </c>
      <c r="I160" s="1" t="s">
        <v>1411</v>
      </c>
      <c r="J160" s="4" t="s">
        <v>1412</v>
      </c>
    </row>
    <row r="161">
      <c r="A161" s="1"/>
      <c r="B161" s="1" t="s">
        <v>1413</v>
      </c>
      <c r="C161" s="1" t="s">
        <v>1414</v>
      </c>
      <c r="D161" s="1" t="s">
        <v>1415</v>
      </c>
      <c r="E161" s="1" t="s">
        <v>1416</v>
      </c>
      <c r="F161" s="1" t="s">
        <v>1417</v>
      </c>
      <c r="G161" s="1" t="s">
        <v>1418</v>
      </c>
      <c r="H161" s="1" t="s">
        <v>1419</v>
      </c>
      <c r="I161" s="1" t="s">
        <v>1025</v>
      </c>
      <c r="J161" s="4" t="s">
        <v>1420</v>
      </c>
    </row>
    <row r="162">
      <c r="A162" s="1"/>
      <c r="B162" s="1" t="s">
        <v>1421</v>
      </c>
      <c r="C162" s="1" t="s">
        <v>1422</v>
      </c>
      <c r="D162" s="1" t="s">
        <v>1423</v>
      </c>
      <c r="E162" s="1" t="s">
        <v>1424</v>
      </c>
      <c r="F162" s="1" t="s">
        <v>1425</v>
      </c>
      <c r="G162" s="1" t="s">
        <v>1426</v>
      </c>
      <c r="H162" s="1" t="s">
        <v>1427</v>
      </c>
      <c r="I162" s="1" t="s">
        <v>1428</v>
      </c>
      <c r="J162" s="9" t="s">
        <v>1429</v>
      </c>
    </row>
    <row r="163">
      <c r="A163" s="10"/>
      <c r="B163" s="10"/>
      <c r="C163" s="10"/>
      <c r="D163" s="10"/>
      <c r="E163" s="10"/>
      <c r="F163" s="10"/>
      <c r="G163" s="10"/>
      <c r="H163" s="10"/>
      <c r="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  <hyperlink r:id="rId127" ref="J128"/>
    <hyperlink r:id="rId128" ref="J129"/>
    <hyperlink r:id="rId129" ref="J130"/>
    <hyperlink r:id="rId130" ref="J131"/>
    <hyperlink r:id="rId131" ref="J132"/>
    <hyperlink r:id="rId132" ref="J133"/>
    <hyperlink r:id="rId133" ref="J134"/>
    <hyperlink r:id="rId134" ref="J135"/>
    <hyperlink r:id="rId135" ref="J136"/>
    <hyperlink r:id="rId136" ref="J137"/>
    <hyperlink r:id="rId137" ref="J138"/>
    <hyperlink r:id="rId138" ref="J139"/>
    <hyperlink r:id="rId139" ref="J140"/>
    <hyperlink r:id="rId140" ref="J141"/>
    <hyperlink r:id="rId141" ref="J142"/>
    <hyperlink r:id="rId142" ref="J143"/>
    <hyperlink r:id="rId143" ref="J144"/>
    <hyperlink r:id="rId144" ref="J145"/>
    <hyperlink r:id="rId145" ref="J146"/>
    <hyperlink r:id="rId146" ref="J147"/>
    <hyperlink r:id="rId147" ref="J148"/>
    <hyperlink r:id="rId148" ref="J149"/>
    <hyperlink r:id="rId149" ref="J150"/>
    <hyperlink r:id="rId150" ref="J151"/>
    <hyperlink r:id="rId151" ref="J152"/>
    <hyperlink r:id="rId152" ref="J153"/>
    <hyperlink r:id="rId153" ref="J154"/>
    <hyperlink r:id="rId154" ref="J155"/>
    <hyperlink r:id="rId155" ref="J156"/>
    <hyperlink r:id="rId156" ref="J157"/>
    <hyperlink r:id="rId157" ref="J158"/>
    <hyperlink r:id="rId158" ref="J159"/>
    <hyperlink r:id="rId159" ref="J160"/>
    <hyperlink r:id="rId160" ref="J161"/>
    <hyperlink r:id="rId161" ref="J162"/>
  </hyperlinks>
  <drawing r:id="rId16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75"/>
    <col customWidth="1" min="16" max="16" width="91.75"/>
    <col customWidth="1" min="17" max="17" width="43.88"/>
  </cols>
  <sheetData>
    <row r="1">
      <c r="A1" s="11" t="s">
        <v>0</v>
      </c>
      <c r="B1" s="11" t="s">
        <v>1430</v>
      </c>
      <c r="C1" s="2" t="s">
        <v>1431</v>
      </c>
      <c r="D1" s="11" t="s">
        <v>1432</v>
      </c>
      <c r="E1" s="11" t="s">
        <v>1433</v>
      </c>
      <c r="F1" s="11" t="s">
        <v>1434</v>
      </c>
      <c r="G1" s="11" t="s">
        <v>1435</v>
      </c>
      <c r="H1" s="11" t="s">
        <v>1436</v>
      </c>
      <c r="I1" s="11" t="s">
        <v>1437</v>
      </c>
      <c r="J1" s="11" t="s">
        <v>1438</v>
      </c>
      <c r="K1" s="11" t="s">
        <v>1439</v>
      </c>
      <c r="L1" s="11" t="s">
        <v>1440</v>
      </c>
      <c r="M1" s="2" t="s">
        <v>1441</v>
      </c>
      <c r="N1" s="2" t="s">
        <v>1442</v>
      </c>
      <c r="O1" s="2" t="s">
        <v>1443</v>
      </c>
      <c r="P1" s="2" t="s">
        <v>1444</v>
      </c>
      <c r="Q1" s="2" t="s">
        <v>1445</v>
      </c>
    </row>
    <row r="2">
      <c r="A2" s="2"/>
      <c r="B2" s="2" t="s">
        <v>11</v>
      </c>
      <c r="C2" s="2" t="s">
        <v>1446</v>
      </c>
      <c r="D2" s="2" t="s">
        <v>1447</v>
      </c>
      <c r="E2" s="2">
        <v>72.0</v>
      </c>
      <c r="F2" s="2" t="s">
        <v>1448</v>
      </c>
      <c r="G2" s="2">
        <v>80.0</v>
      </c>
      <c r="H2" s="2">
        <v>900.0</v>
      </c>
      <c r="I2" s="2">
        <v>68.0</v>
      </c>
      <c r="J2" s="2" t="s">
        <v>1449</v>
      </c>
      <c r="K2" s="2">
        <v>60.0</v>
      </c>
      <c r="L2" s="2" t="s">
        <v>1450</v>
      </c>
      <c r="M2" s="12">
        <f>+38</f>
        <v>38</v>
      </c>
      <c r="N2" s="2">
        <v>-55.0</v>
      </c>
      <c r="O2" s="12">
        <f>+25</f>
        <v>25</v>
      </c>
      <c r="P2" s="2" t="s">
        <v>1451</v>
      </c>
      <c r="Q2" s="2" t="s">
        <v>1452</v>
      </c>
    </row>
    <row r="3">
      <c r="A3" s="2"/>
      <c r="B3" s="2" t="s">
        <v>20</v>
      </c>
      <c r="C3" s="2" t="s">
        <v>1453</v>
      </c>
      <c r="D3" s="2" t="s">
        <v>1454</v>
      </c>
      <c r="E3" s="2">
        <v>78.0</v>
      </c>
      <c r="F3" s="2" t="s">
        <v>1455</v>
      </c>
      <c r="G3" s="2">
        <v>85.0</v>
      </c>
      <c r="H3" s="2">
        <v>1000.0</v>
      </c>
      <c r="I3" s="2">
        <v>73.0</v>
      </c>
      <c r="J3" s="2" t="s">
        <v>1456</v>
      </c>
      <c r="K3" s="2">
        <v>65.0</v>
      </c>
      <c r="L3" s="2" t="s">
        <v>1457</v>
      </c>
      <c r="M3" s="12">
        <f>+42</f>
        <v>42</v>
      </c>
      <c r="N3" s="2">
        <v>-60.0</v>
      </c>
      <c r="O3" s="12">
        <f>+28</f>
        <v>28</v>
      </c>
      <c r="P3" s="2" t="s">
        <v>1458</v>
      </c>
      <c r="Q3" s="2" t="s">
        <v>1459</v>
      </c>
    </row>
    <row r="4">
      <c r="A4" s="2"/>
      <c r="B4" s="2" t="s">
        <v>29</v>
      </c>
      <c r="C4" s="2" t="s">
        <v>1460</v>
      </c>
      <c r="D4" s="2" t="s">
        <v>1461</v>
      </c>
      <c r="E4" s="2">
        <v>75.0</v>
      </c>
      <c r="F4" s="2" t="s">
        <v>1462</v>
      </c>
      <c r="G4" s="2">
        <v>82.0</v>
      </c>
      <c r="H4" s="2">
        <v>700.0</v>
      </c>
      <c r="I4" s="2">
        <v>70.0</v>
      </c>
      <c r="J4" s="2" t="s">
        <v>1463</v>
      </c>
      <c r="K4" s="2">
        <v>62.0</v>
      </c>
      <c r="L4" s="2" t="s">
        <v>1464</v>
      </c>
      <c r="M4" s="12">
        <f>+36</f>
        <v>36</v>
      </c>
      <c r="N4" s="2">
        <v>-57.0</v>
      </c>
      <c r="O4" s="12">
        <f>+26</f>
        <v>26</v>
      </c>
      <c r="P4" s="2" t="s">
        <v>1465</v>
      </c>
      <c r="Q4" s="2" t="s">
        <v>1466</v>
      </c>
    </row>
    <row r="5">
      <c r="A5" s="2"/>
      <c r="B5" s="2" t="s">
        <v>38</v>
      </c>
      <c r="C5" s="2" t="s">
        <v>1467</v>
      </c>
      <c r="D5" s="2" t="s">
        <v>1468</v>
      </c>
      <c r="E5" s="2">
        <v>83.0</v>
      </c>
      <c r="F5" s="2" t="s">
        <v>1469</v>
      </c>
      <c r="G5" s="2">
        <v>88.0</v>
      </c>
      <c r="H5" s="2">
        <v>1200.0</v>
      </c>
      <c r="I5" s="2">
        <v>76.0</v>
      </c>
      <c r="J5" s="2" t="s">
        <v>1470</v>
      </c>
      <c r="K5" s="2">
        <v>69.0</v>
      </c>
      <c r="L5" s="2" t="s">
        <v>1471</v>
      </c>
      <c r="M5" s="12">
        <f>+40</f>
        <v>40</v>
      </c>
      <c r="N5" s="2">
        <v>-63.0</v>
      </c>
      <c r="O5" s="12">
        <f>+30</f>
        <v>30</v>
      </c>
      <c r="P5" s="2" t="s">
        <v>1472</v>
      </c>
      <c r="Q5" s="2" t="s">
        <v>1473</v>
      </c>
    </row>
    <row r="6">
      <c r="A6" s="2"/>
      <c r="B6" s="2" t="s">
        <v>47</v>
      </c>
      <c r="C6" s="2" t="s">
        <v>1474</v>
      </c>
      <c r="D6" s="2" t="s">
        <v>1475</v>
      </c>
      <c r="E6" s="2">
        <v>77.0</v>
      </c>
      <c r="F6" s="2" t="s">
        <v>1449</v>
      </c>
      <c r="G6" s="2">
        <v>83.0</v>
      </c>
      <c r="H6" s="2">
        <v>600.0</v>
      </c>
      <c r="I6" s="2">
        <v>70.0</v>
      </c>
      <c r="J6" s="2" t="s">
        <v>1476</v>
      </c>
      <c r="K6" s="2">
        <v>64.0</v>
      </c>
      <c r="L6" s="2" t="s">
        <v>1477</v>
      </c>
      <c r="M6" s="12">
        <f>+39</f>
        <v>39</v>
      </c>
      <c r="N6" s="2">
        <v>-59.0</v>
      </c>
      <c r="O6" s="12">
        <f>+27</f>
        <v>27</v>
      </c>
      <c r="P6" s="2" t="s">
        <v>1478</v>
      </c>
      <c r="Q6" s="2" t="s">
        <v>1479</v>
      </c>
    </row>
    <row r="7">
      <c r="A7" s="2"/>
      <c r="B7" s="2" t="s">
        <v>56</v>
      </c>
      <c r="C7" s="2" t="s">
        <v>1480</v>
      </c>
      <c r="D7" s="2" t="s">
        <v>1481</v>
      </c>
      <c r="E7" s="2">
        <v>71.0</v>
      </c>
      <c r="F7" s="2" t="s">
        <v>1482</v>
      </c>
      <c r="G7" s="2">
        <v>78.0</v>
      </c>
      <c r="H7" s="2">
        <v>550.0</v>
      </c>
      <c r="I7" s="2">
        <v>65.0</v>
      </c>
      <c r="J7" s="2" t="s">
        <v>1483</v>
      </c>
      <c r="K7" s="2">
        <v>58.0</v>
      </c>
      <c r="L7" s="2" t="s">
        <v>1484</v>
      </c>
      <c r="M7" s="12">
        <f>+35</f>
        <v>35</v>
      </c>
      <c r="N7" s="2">
        <v>-52.0</v>
      </c>
      <c r="O7" s="12">
        <f>+22</f>
        <v>22</v>
      </c>
      <c r="P7" s="2" t="s">
        <v>1485</v>
      </c>
      <c r="Q7" s="2" t="s">
        <v>1473</v>
      </c>
    </row>
    <row r="8">
      <c r="A8" s="2"/>
      <c r="B8" s="2" t="s">
        <v>1486</v>
      </c>
      <c r="C8" s="2" t="s">
        <v>1487</v>
      </c>
      <c r="D8" s="2" t="s">
        <v>1488</v>
      </c>
      <c r="E8" s="2">
        <v>69.0</v>
      </c>
      <c r="F8" s="2" t="s">
        <v>1489</v>
      </c>
      <c r="G8" s="2">
        <v>76.0</v>
      </c>
      <c r="H8" s="2">
        <v>400.0</v>
      </c>
      <c r="I8" s="2">
        <v>62.0</v>
      </c>
      <c r="J8" s="2" t="s">
        <v>1490</v>
      </c>
      <c r="K8" s="2">
        <v>55.0</v>
      </c>
      <c r="L8" s="2" t="s">
        <v>1491</v>
      </c>
      <c r="M8" s="12">
        <f>+33</f>
        <v>33</v>
      </c>
      <c r="N8" s="2">
        <v>-50.0</v>
      </c>
      <c r="O8" s="12">
        <f>+20</f>
        <v>20</v>
      </c>
      <c r="P8" s="2" t="s">
        <v>1492</v>
      </c>
      <c r="Q8" s="2" t="s">
        <v>1473</v>
      </c>
    </row>
    <row r="9">
      <c r="A9" s="2"/>
      <c r="B9" s="2" t="s">
        <v>74</v>
      </c>
      <c r="C9" s="2" t="s">
        <v>1493</v>
      </c>
      <c r="D9" s="2" t="s">
        <v>1494</v>
      </c>
      <c r="E9" s="2">
        <v>76.0</v>
      </c>
      <c r="F9" s="2" t="s">
        <v>1470</v>
      </c>
      <c r="G9" s="2">
        <v>82.0</v>
      </c>
      <c r="H9" s="2">
        <v>700.0</v>
      </c>
      <c r="I9" s="2">
        <v>69.0</v>
      </c>
      <c r="J9" s="2" t="s">
        <v>1495</v>
      </c>
      <c r="K9" s="2">
        <v>61.0</v>
      </c>
      <c r="L9" s="2" t="s">
        <v>1496</v>
      </c>
      <c r="M9" s="12">
        <f>+37</f>
        <v>37</v>
      </c>
      <c r="N9" s="2">
        <v>-56.0</v>
      </c>
      <c r="O9" s="12">
        <f>+25</f>
        <v>25</v>
      </c>
      <c r="P9" s="2" t="s">
        <v>1497</v>
      </c>
      <c r="Q9" s="2" t="s">
        <v>1479</v>
      </c>
    </row>
    <row r="10">
      <c r="A10" s="2"/>
      <c r="B10" s="2" t="s">
        <v>83</v>
      </c>
      <c r="C10" s="2" t="s">
        <v>1498</v>
      </c>
      <c r="D10" s="2" t="s">
        <v>1499</v>
      </c>
      <c r="E10" s="2">
        <v>74.0</v>
      </c>
      <c r="F10" s="2" t="s">
        <v>1455</v>
      </c>
      <c r="G10" s="2">
        <v>81.0</v>
      </c>
      <c r="H10" s="2">
        <v>800.0</v>
      </c>
      <c r="I10" s="2">
        <v>67.0</v>
      </c>
      <c r="J10" s="2" t="s">
        <v>1456</v>
      </c>
      <c r="K10" s="2">
        <v>60.0</v>
      </c>
      <c r="L10" s="2" t="s">
        <v>1500</v>
      </c>
      <c r="M10" s="12">
        <f>+34</f>
        <v>34</v>
      </c>
      <c r="N10" s="2">
        <v>-54.0</v>
      </c>
      <c r="O10" s="12">
        <f>+23</f>
        <v>23</v>
      </c>
      <c r="P10" s="2" t="s">
        <v>1501</v>
      </c>
      <c r="Q10" s="2" t="s">
        <v>1473</v>
      </c>
    </row>
    <row r="11">
      <c r="A11" s="2"/>
      <c r="B11" s="2" t="s">
        <v>92</v>
      </c>
      <c r="C11" s="2" t="s">
        <v>1502</v>
      </c>
      <c r="D11" s="2" t="s">
        <v>1503</v>
      </c>
      <c r="E11" s="2">
        <v>85.0</v>
      </c>
      <c r="F11" s="2" t="s">
        <v>1448</v>
      </c>
      <c r="G11" s="2">
        <v>90.0</v>
      </c>
      <c r="H11" s="2">
        <v>1200.0</v>
      </c>
      <c r="I11" s="2">
        <v>78.0</v>
      </c>
      <c r="J11" s="2" t="s">
        <v>1462</v>
      </c>
      <c r="K11" s="2">
        <v>70.0</v>
      </c>
      <c r="L11" s="2" t="s">
        <v>1504</v>
      </c>
      <c r="M11" s="12">
        <f>+45</f>
        <v>45</v>
      </c>
      <c r="N11" s="2">
        <v>-65.0</v>
      </c>
      <c r="O11" s="12">
        <f>+30</f>
        <v>30</v>
      </c>
      <c r="P11" s="2" t="s">
        <v>1505</v>
      </c>
      <c r="Q11" s="2" t="s">
        <v>1506</v>
      </c>
    </row>
    <row r="12">
      <c r="A12" s="2"/>
      <c r="B12" s="2" t="s">
        <v>101</v>
      </c>
      <c r="C12" s="2" t="s">
        <v>1507</v>
      </c>
      <c r="D12" s="2" t="s">
        <v>1508</v>
      </c>
      <c r="E12" s="2">
        <v>73.0</v>
      </c>
      <c r="F12" s="2" t="s">
        <v>1509</v>
      </c>
      <c r="G12" s="2">
        <v>80.0</v>
      </c>
      <c r="H12" s="2">
        <v>650.0</v>
      </c>
      <c r="I12" s="2">
        <v>66.0</v>
      </c>
      <c r="J12" s="2" t="s">
        <v>1482</v>
      </c>
      <c r="K12" s="2">
        <v>59.0</v>
      </c>
      <c r="L12" s="2" t="s">
        <v>1510</v>
      </c>
      <c r="M12" s="12">
        <f>+32</f>
        <v>32</v>
      </c>
      <c r="N12" s="2">
        <v>-53.0</v>
      </c>
      <c r="O12" s="12">
        <f>+22</f>
        <v>22</v>
      </c>
      <c r="P12" s="2" t="s">
        <v>1511</v>
      </c>
      <c r="Q12" s="2" t="s">
        <v>1512</v>
      </c>
    </row>
    <row r="13">
      <c r="A13" s="2"/>
      <c r="B13" s="2" t="s">
        <v>110</v>
      </c>
      <c r="C13" s="2" t="s">
        <v>1513</v>
      </c>
      <c r="D13" s="2" t="s">
        <v>1514</v>
      </c>
      <c r="E13" s="2">
        <v>79.0</v>
      </c>
      <c r="F13" s="2" t="s">
        <v>1515</v>
      </c>
      <c r="G13" s="2">
        <v>86.0</v>
      </c>
      <c r="H13" s="2">
        <v>900.0</v>
      </c>
      <c r="I13" s="2">
        <v>72.0</v>
      </c>
      <c r="J13" s="2" t="s">
        <v>1449</v>
      </c>
      <c r="K13" s="2">
        <v>64.0</v>
      </c>
      <c r="L13" s="2" t="s">
        <v>1516</v>
      </c>
      <c r="M13" s="12">
        <f>+41</f>
        <v>41</v>
      </c>
      <c r="N13" s="2">
        <v>-60.0</v>
      </c>
      <c r="O13" s="12">
        <f>+27</f>
        <v>27</v>
      </c>
      <c r="P13" s="2" t="s">
        <v>1517</v>
      </c>
      <c r="Q13" s="2" t="s">
        <v>1473</v>
      </c>
    </row>
    <row r="14">
      <c r="A14" s="2"/>
      <c r="B14" s="2" t="s">
        <v>119</v>
      </c>
      <c r="C14" s="2" t="s">
        <v>1518</v>
      </c>
      <c r="D14" s="2" t="s">
        <v>1519</v>
      </c>
      <c r="E14" s="2">
        <v>82.0</v>
      </c>
      <c r="F14" s="2" t="s">
        <v>1520</v>
      </c>
      <c r="G14" s="2">
        <v>87.0</v>
      </c>
      <c r="H14" s="2">
        <v>950.0</v>
      </c>
      <c r="I14" s="2">
        <v>75.0</v>
      </c>
      <c r="J14" s="2" t="s">
        <v>1509</v>
      </c>
      <c r="K14" s="2">
        <v>67.0</v>
      </c>
      <c r="L14" s="2" t="s">
        <v>1521</v>
      </c>
      <c r="M14" s="12">
        <f>+35</f>
        <v>35</v>
      </c>
      <c r="N14" s="2">
        <v>-61.0</v>
      </c>
      <c r="O14" s="12">
        <f>+26</f>
        <v>26</v>
      </c>
      <c r="P14" s="2" t="s">
        <v>1522</v>
      </c>
      <c r="Q14" s="2" t="s">
        <v>1512</v>
      </c>
    </row>
    <row r="15">
      <c r="A15" s="2"/>
      <c r="B15" s="2" t="s">
        <v>128</v>
      </c>
      <c r="C15" s="2" t="s">
        <v>1523</v>
      </c>
      <c r="D15" s="2" t="s">
        <v>1524</v>
      </c>
      <c r="E15" s="2">
        <v>76.0</v>
      </c>
      <c r="F15" s="2" t="s">
        <v>1470</v>
      </c>
      <c r="G15" s="2">
        <v>82.0</v>
      </c>
      <c r="H15" s="2">
        <v>700.0</v>
      </c>
      <c r="I15" s="2">
        <v>69.0</v>
      </c>
      <c r="J15" s="2" t="s">
        <v>1463</v>
      </c>
      <c r="K15" s="2">
        <v>61.0</v>
      </c>
      <c r="L15" s="2" t="s">
        <v>1525</v>
      </c>
      <c r="M15" s="12">
        <f>+36</f>
        <v>36</v>
      </c>
      <c r="N15" s="2">
        <v>-56.0</v>
      </c>
      <c r="O15" s="12">
        <f>+24</f>
        <v>24</v>
      </c>
      <c r="P15" s="2" t="s">
        <v>1526</v>
      </c>
      <c r="Q15" s="2" t="s">
        <v>1479</v>
      </c>
    </row>
    <row r="16">
      <c r="A16" s="2"/>
      <c r="B16" s="2" t="s">
        <v>137</v>
      </c>
      <c r="C16" s="2" t="s">
        <v>1527</v>
      </c>
      <c r="D16" s="2" t="s">
        <v>1528</v>
      </c>
      <c r="E16" s="2">
        <v>66.0</v>
      </c>
      <c r="F16" s="2" t="s">
        <v>1483</v>
      </c>
      <c r="G16" s="2">
        <v>74.0</v>
      </c>
      <c r="H16" s="2">
        <v>420.0</v>
      </c>
      <c r="I16" s="2">
        <v>58.0</v>
      </c>
      <c r="J16" s="2" t="s">
        <v>1529</v>
      </c>
      <c r="K16" s="2">
        <v>55.0</v>
      </c>
      <c r="L16" s="2" t="s">
        <v>1530</v>
      </c>
      <c r="M16" s="12">
        <f>+35</f>
        <v>35</v>
      </c>
      <c r="N16" s="2">
        <v>-50.0</v>
      </c>
      <c r="O16" s="12">
        <f>+20</f>
        <v>20</v>
      </c>
      <c r="P16" s="2" t="s">
        <v>1531</v>
      </c>
      <c r="Q16" s="2" t="s">
        <v>1459</v>
      </c>
    </row>
    <row r="17">
      <c r="A17" s="2"/>
      <c r="B17" s="2" t="s">
        <v>146</v>
      </c>
      <c r="C17" s="2" t="s">
        <v>1532</v>
      </c>
      <c r="D17" s="2" t="s">
        <v>1533</v>
      </c>
      <c r="E17" s="2">
        <v>74.0</v>
      </c>
      <c r="F17" s="2" t="s">
        <v>1495</v>
      </c>
      <c r="G17" s="2">
        <v>81.0</v>
      </c>
      <c r="H17" s="2">
        <v>700.0</v>
      </c>
      <c r="I17" s="2">
        <v>66.0</v>
      </c>
      <c r="J17" s="2" t="s">
        <v>1482</v>
      </c>
      <c r="K17" s="2">
        <v>59.0</v>
      </c>
      <c r="L17" s="2" t="s">
        <v>1534</v>
      </c>
      <c r="M17" s="12">
        <f>+36</f>
        <v>36</v>
      </c>
      <c r="N17" s="2">
        <v>-54.0</v>
      </c>
      <c r="O17" s="12">
        <f>+24</f>
        <v>24</v>
      </c>
      <c r="P17" s="2" t="s">
        <v>1535</v>
      </c>
      <c r="Q17" s="2" t="s">
        <v>1473</v>
      </c>
    </row>
    <row r="18">
      <c r="A18" s="2"/>
      <c r="B18" s="2" t="s">
        <v>155</v>
      </c>
      <c r="C18" s="2" t="s">
        <v>1536</v>
      </c>
      <c r="D18" s="2" t="s">
        <v>1537</v>
      </c>
      <c r="E18" s="2">
        <v>77.0</v>
      </c>
      <c r="F18" s="2" t="s">
        <v>1538</v>
      </c>
      <c r="G18" s="2">
        <v>84.0</v>
      </c>
      <c r="H18" s="2">
        <v>850.0</v>
      </c>
      <c r="I18" s="2">
        <v>70.0</v>
      </c>
      <c r="J18" s="2" t="s">
        <v>1456</v>
      </c>
      <c r="K18" s="2">
        <v>62.0</v>
      </c>
      <c r="L18" s="2" t="s">
        <v>1539</v>
      </c>
      <c r="M18" s="12">
        <f>+38</f>
        <v>38</v>
      </c>
      <c r="N18" s="2">
        <v>-57.0</v>
      </c>
      <c r="O18" s="12">
        <f>+26</f>
        <v>26</v>
      </c>
      <c r="P18" s="2" t="s">
        <v>1540</v>
      </c>
      <c r="Q18" s="2" t="s">
        <v>1479</v>
      </c>
    </row>
    <row r="19">
      <c r="A19" s="2"/>
      <c r="B19" s="2" t="s">
        <v>164</v>
      </c>
      <c r="C19" s="2" t="s">
        <v>1541</v>
      </c>
      <c r="D19" s="2" t="s">
        <v>1542</v>
      </c>
      <c r="E19" s="2">
        <v>69.0</v>
      </c>
      <c r="F19" s="2" t="s">
        <v>1476</v>
      </c>
      <c r="G19" s="2">
        <v>76.0</v>
      </c>
      <c r="H19" s="2">
        <v>480.0</v>
      </c>
      <c r="I19" s="2">
        <v>61.0</v>
      </c>
      <c r="J19" s="2" t="s">
        <v>1483</v>
      </c>
      <c r="K19" s="2">
        <v>56.0</v>
      </c>
      <c r="L19" s="2" t="s">
        <v>1543</v>
      </c>
      <c r="M19" s="12">
        <f>+33</f>
        <v>33</v>
      </c>
      <c r="N19" s="2">
        <v>-52.0</v>
      </c>
      <c r="O19" s="12">
        <f>+22</f>
        <v>22</v>
      </c>
      <c r="P19" s="2" t="s">
        <v>1544</v>
      </c>
      <c r="Q19" s="2" t="s">
        <v>1473</v>
      </c>
    </row>
    <row r="20">
      <c r="A20" s="2"/>
      <c r="B20" s="2" t="s">
        <v>173</v>
      </c>
      <c r="C20" s="2" t="s">
        <v>1545</v>
      </c>
      <c r="D20" s="2" t="s">
        <v>1546</v>
      </c>
      <c r="E20" s="2">
        <v>62.0</v>
      </c>
      <c r="F20" s="2" t="s">
        <v>1529</v>
      </c>
      <c r="G20" s="2">
        <v>70.0</v>
      </c>
      <c r="H20" s="2">
        <v>350.0</v>
      </c>
      <c r="I20" s="2">
        <v>56.0</v>
      </c>
      <c r="J20" s="2" t="s">
        <v>1490</v>
      </c>
      <c r="K20" s="2">
        <v>52.0</v>
      </c>
      <c r="L20" s="2" t="s">
        <v>1547</v>
      </c>
      <c r="M20" s="12">
        <f>+28</f>
        <v>28</v>
      </c>
      <c r="N20" s="2">
        <v>-48.0</v>
      </c>
      <c r="O20" s="12">
        <f>+18</f>
        <v>18</v>
      </c>
      <c r="P20" s="2" t="s">
        <v>1548</v>
      </c>
      <c r="Q20" s="2" t="s">
        <v>1549</v>
      </c>
    </row>
    <row r="21">
      <c r="A21" s="2"/>
      <c r="B21" s="2" t="s">
        <v>182</v>
      </c>
      <c r="C21" s="2" t="s">
        <v>1550</v>
      </c>
      <c r="D21" s="2" t="s">
        <v>1551</v>
      </c>
      <c r="E21" s="2">
        <v>82.0</v>
      </c>
      <c r="F21" s="2" t="s">
        <v>1552</v>
      </c>
      <c r="G21" s="2">
        <v>88.0</v>
      </c>
      <c r="H21" s="2" t="s">
        <v>1553</v>
      </c>
      <c r="I21" s="2">
        <v>75.0</v>
      </c>
      <c r="J21" s="2" t="s">
        <v>1470</v>
      </c>
      <c r="K21" s="2">
        <v>67.0</v>
      </c>
      <c r="L21" s="2" t="s">
        <v>1554</v>
      </c>
      <c r="M21" s="12">
        <f>+34</f>
        <v>34</v>
      </c>
      <c r="N21" s="2">
        <v>-61.0</v>
      </c>
      <c r="O21" s="12">
        <f>+26</f>
        <v>26</v>
      </c>
      <c r="P21" s="2" t="s">
        <v>1555</v>
      </c>
      <c r="Q21" s="2" t="s">
        <v>1473</v>
      </c>
    </row>
    <row r="22">
      <c r="A22" s="2"/>
      <c r="B22" s="2" t="s">
        <v>191</v>
      </c>
      <c r="C22" s="2" t="s">
        <v>1556</v>
      </c>
      <c r="D22" s="2" t="s">
        <v>1557</v>
      </c>
      <c r="E22" s="2">
        <v>71.0</v>
      </c>
      <c r="F22" s="2" t="s">
        <v>1489</v>
      </c>
      <c r="G22" s="2">
        <v>79.0</v>
      </c>
      <c r="H22" s="2">
        <v>500.0</v>
      </c>
      <c r="I22" s="2">
        <v>64.0</v>
      </c>
      <c r="J22" s="2" t="s">
        <v>1483</v>
      </c>
      <c r="K22" s="2">
        <v>58.0</v>
      </c>
      <c r="L22" s="2" t="s">
        <v>1558</v>
      </c>
      <c r="M22" s="12">
        <f>+32</f>
        <v>32</v>
      </c>
      <c r="N22" s="2">
        <v>-51.0</v>
      </c>
      <c r="O22" s="12">
        <f>+21</f>
        <v>21</v>
      </c>
      <c r="P22" s="2" t="s">
        <v>1559</v>
      </c>
      <c r="Q22" s="2" t="s">
        <v>1479</v>
      </c>
    </row>
    <row r="23">
      <c r="A23" s="2"/>
      <c r="B23" s="2" t="s">
        <v>199</v>
      </c>
      <c r="C23" s="2" t="s">
        <v>1560</v>
      </c>
      <c r="D23" s="2" t="s">
        <v>1561</v>
      </c>
      <c r="E23" s="2">
        <v>73.0</v>
      </c>
      <c r="F23" s="2" t="s">
        <v>1463</v>
      </c>
      <c r="G23" s="2">
        <v>80.0</v>
      </c>
      <c r="H23" s="2">
        <v>600.0</v>
      </c>
      <c r="I23" s="2">
        <v>66.0</v>
      </c>
      <c r="J23" s="2" t="s">
        <v>1476</v>
      </c>
      <c r="K23" s="2">
        <v>59.0</v>
      </c>
      <c r="L23" s="2" t="s">
        <v>1562</v>
      </c>
      <c r="M23" s="12">
        <f>+36</f>
        <v>36</v>
      </c>
      <c r="N23" s="2">
        <v>-53.0</v>
      </c>
      <c r="O23" s="12">
        <f>+23</f>
        <v>23</v>
      </c>
      <c r="P23" s="2" t="s">
        <v>1563</v>
      </c>
      <c r="Q23" s="2" t="s">
        <v>1512</v>
      </c>
    </row>
    <row r="24">
      <c r="A24" s="2"/>
      <c r="B24" s="2" t="s">
        <v>217</v>
      </c>
      <c r="C24" s="2" t="s">
        <v>1564</v>
      </c>
      <c r="D24" s="2" t="s">
        <v>1565</v>
      </c>
      <c r="E24" s="2">
        <v>70.0</v>
      </c>
      <c r="F24" s="2" t="s">
        <v>1482</v>
      </c>
      <c r="G24" s="2">
        <v>78.0</v>
      </c>
      <c r="H24" s="2">
        <v>520.0</v>
      </c>
      <c r="I24" s="2">
        <v>62.0</v>
      </c>
      <c r="J24" s="2" t="s">
        <v>1483</v>
      </c>
      <c r="K24" s="2">
        <v>56.0</v>
      </c>
      <c r="L24" s="2" t="s">
        <v>1566</v>
      </c>
      <c r="M24" s="12">
        <f>+30</f>
        <v>30</v>
      </c>
      <c r="N24" s="2">
        <v>-52.0</v>
      </c>
      <c r="O24" s="12">
        <f>+21</f>
        <v>21</v>
      </c>
      <c r="P24" s="2" t="s">
        <v>1567</v>
      </c>
      <c r="Q24" s="2" t="s">
        <v>1473</v>
      </c>
    </row>
    <row r="25">
      <c r="A25" s="2"/>
      <c r="B25" s="2" t="s">
        <v>226</v>
      </c>
      <c r="C25" s="2" t="s">
        <v>1568</v>
      </c>
      <c r="D25" s="2" t="s">
        <v>1569</v>
      </c>
      <c r="E25" s="2">
        <v>72.0</v>
      </c>
      <c r="F25" s="2" t="s">
        <v>1482</v>
      </c>
      <c r="G25" s="2">
        <v>80.0</v>
      </c>
      <c r="H25" s="2">
        <v>560.0</v>
      </c>
      <c r="I25" s="2">
        <v>64.0</v>
      </c>
      <c r="J25" s="2" t="s">
        <v>1489</v>
      </c>
      <c r="K25" s="2">
        <v>57.0</v>
      </c>
      <c r="L25" s="2" t="s">
        <v>1558</v>
      </c>
      <c r="M25" s="12">
        <f>+34</f>
        <v>34</v>
      </c>
      <c r="N25" s="2">
        <v>-54.0</v>
      </c>
      <c r="O25" s="12">
        <f>+22</f>
        <v>22</v>
      </c>
      <c r="P25" s="2" t="s">
        <v>1570</v>
      </c>
      <c r="Q25" s="2" t="s">
        <v>1512</v>
      </c>
    </row>
    <row r="26">
      <c r="A26" s="2"/>
      <c r="B26" s="2" t="s">
        <v>235</v>
      </c>
      <c r="C26" s="2" t="s">
        <v>1571</v>
      </c>
      <c r="D26" s="2" t="s">
        <v>1572</v>
      </c>
      <c r="E26" s="2">
        <v>68.0</v>
      </c>
      <c r="F26" s="2" t="s">
        <v>1489</v>
      </c>
      <c r="G26" s="2">
        <v>76.0</v>
      </c>
      <c r="H26" s="2">
        <v>480.0</v>
      </c>
      <c r="I26" s="2">
        <v>60.0</v>
      </c>
      <c r="J26" s="2" t="s">
        <v>1529</v>
      </c>
      <c r="K26" s="2">
        <v>55.0</v>
      </c>
      <c r="L26" s="2" t="s">
        <v>1573</v>
      </c>
      <c r="M26" s="12">
        <f>+32</f>
        <v>32</v>
      </c>
      <c r="N26" s="2">
        <v>-50.0</v>
      </c>
      <c r="O26" s="12">
        <f>+20</f>
        <v>20</v>
      </c>
      <c r="P26" s="2" t="s">
        <v>1574</v>
      </c>
      <c r="Q26" s="2" t="s">
        <v>1473</v>
      </c>
    </row>
    <row r="27">
      <c r="A27" s="2"/>
      <c r="B27" s="2" t="s">
        <v>244</v>
      </c>
      <c r="C27" s="2" t="s">
        <v>1575</v>
      </c>
      <c r="D27" s="2" t="s">
        <v>1576</v>
      </c>
      <c r="E27" s="2">
        <v>78.0</v>
      </c>
      <c r="F27" s="2" t="s">
        <v>1455</v>
      </c>
      <c r="G27" s="2">
        <v>85.0</v>
      </c>
      <c r="H27" s="2" t="s">
        <v>1577</v>
      </c>
      <c r="I27" s="2">
        <v>73.0</v>
      </c>
      <c r="J27" s="2" t="s">
        <v>1509</v>
      </c>
      <c r="K27" s="2">
        <v>65.0</v>
      </c>
      <c r="L27" s="2" t="s">
        <v>1578</v>
      </c>
      <c r="M27" s="12">
        <f>+45</f>
        <v>45</v>
      </c>
      <c r="N27" s="2">
        <v>-60.0</v>
      </c>
      <c r="O27" s="12">
        <f>+28</f>
        <v>28</v>
      </c>
      <c r="P27" s="2" t="s">
        <v>1579</v>
      </c>
      <c r="Q27" s="2" t="s">
        <v>1459</v>
      </c>
    </row>
    <row r="28">
      <c r="A28" s="2"/>
      <c r="B28" s="2" t="s">
        <v>253</v>
      </c>
      <c r="C28" s="2" t="s">
        <v>1580</v>
      </c>
      <c r="D28" s="2" t="s">
        <v>1581</v>
      </c>
      <c r="E28" s="2">
        <v>67.0</v>
      </c>
      <c r="F28" s="2" t="s">
        <v>1483</v>
      </c>
      <c r="G28" s="2">
        <v>75.0</v>
      </c>
      <c r="H28" s="2">
        <v>450.0</v>
      </c>
      <c r="I28" s="2">
        <v>59.0</v>
      </c>
      <c r="J28" s="2" t="s">
        <v>1529</v>
      </c>
      <c r="K28" s="2">
        <v>54.0</v>
      </c>
      <c r="L28" s="2" t="s">
        <v>1530</v>
      </c>
      <c r="M28" s="12">
        <f>+29</f>
        <v>29</v>
      </c>
      <c r="N28" s="2">
        <v>-49.0</v>
      </c>
      <c r="O28" s="12">
        <f>+18</f>
        <v>18</v>
      </c>
      <c r="P28" s="2" t="s">
        <v>1582</v>
      </c>
      <c r="Q28" s="2" t="s">
        <v>1512</v>
      </c>
    </row>
    <row r="29">
      <c r="A29" s="2"/>
      <c r="B29" s="2" t="s">
        <v>260</v>
      </c>
      <c r="C29" s="2" t="s">
        <v>1583</v>
      </c>
      <c r="D29" s="2" t="s">
        <v>1584</v>
      </c>
      <c r="E29" s="2">
        <v>65.0</v>
      </c>
      <c r="F29" s="2" t="s">
        <v>1483</v>
      </c>
      <c r="G29" s="2">
        <v>73.0</v>
      </c>
      <c r="H29" s="2">
        <v>420.0</v>
      </c>
      <c r="I29" s="2">
        <v>58.0</v>
      </c>
      <c r="J29" s="2" t="s">
        <v>1529</v>
      </c>
      <c r="K29" s="2">
        <v>53.0</v>
      </c>
      <c r="L29" s="2" t="s">
        <v>1585</v>
      </c>
      <c r="M29" s="12">
        <f>+30</f>
        <v>30</v>
      </c>
      <c r="N29" s="2">
        <v>-51.0</v>
      </c>
      <c r="O29" s="12">
        <f>+19</f>
        <v>19</v>
      </c>
      <c r="P29" s="2" t="s">
        <v>1586</v>
      </c>
      <c r="Q29" s="2" t="s">
        <v>1512</v>
      </c>
    </row>
    <row r="30">
      <c r="A30" s="2"/>
      <c r="B30" s="2" t="s">
        <v>1587</v>
      </c>
      <c r="C30" s="2" t="s">
        <v>1588</v>
      </c>
      <c r="D30" s="2" t="s">
        <v>1589</v>
      </c>
      <c r="E30" s="2">
        <v>72.0</v>
      </c>
      <c r="F30" s="2" t="s">
        <v>1463</v>
      </c>
      <c r="G30" s="2">
        <v>80.0</v>
      </c>
      <c r="H30" s="2">
        <v>600.0</v>
      </c>
      <c r="I30" s="2">
        <v>65.0</v>
      </c>
      <c r="J30" s="2" t="s">
        <v>1476</v>
      </c>
      <c r="K30" s="2">
        <v>58.0</v>
      </c>
      <c r="L30" s="2" t="s">
        <v>1590</v>
      </c>
      <c r="M30" s="12">
        <f>+35</f>
        <v>35</v>
      </c>
      <c r="N30" s="2">
        <v>-53.0</v>
      </c>
      <c r="O30" s="12">
        <f>+22</f>
        <v>22</v>
      </c>
      <c r="P30" s="2" t="s">
        <v>1591</v>
      </c>
      <c r="Q30" s="2" t="s">
        <v>1512</v>
      </c>
    </row>
    <row r="31">
      <c r="A31" s="2"/>
      <c r="B31" s="2" t="s">
        <v>278</v>
      </c>
      <c r="C31" s="2" t="s">
        <v>1592</v>
      </c>
      <c r="D31" s="2" t="s">
        <v>1593</v>
      </c>
      <c r="E31" s="2">
        <v>69.0</v>
      </c>
      <c r="F31" s="2" t="s">
        <v>1489</v>
      </c>
      <c r="G31" s="2">
        <v>77.0</v>
      </c>
      <c r="H31" s="2">
        <v>500.0</v>
      </c>
      <c r="I31" s="2">
        <v>61.0</v>
      </c>
      <c r="J31" s="2" t="s">
        <v>1483</v>
      </c>
      <c r="K31" s="2">
        <v>55.0</v>
      </c>
      <c r="L31" s="2" t="s">
        <v>1543</v>
      </c>
      <c r="M31" s="12">
        <f>+33</f>
        <v>33</v>
      </c>
      <c r="N31" s="2">
        <v>-50.0</v>
      </c>
      <c r="O31" s="12">
        <f>+21</f>
        <v>21</v>
      </c>
      <c r="P31" s="2" t="s">
        <v>1594</v>
      </c>
      <c r="Q31" s="2" t="s">
        <v>1473</v>
      </c>
    </row>
    <row r="32">
      <c r="A32" s="2"/>
      <c r="B32" s="2" t="s">
        <v>287</v>
      </c>
      <c r="C32" s="2" t="s">
        <v>1595</v>
      </c>
      <c r="D32" s="2" t="s">
        <v>1596</v>
      </c>
      <c r="E32" s="2">
        <v>75.0</v>
      </c>
      <c r="F32" s="2" t="s">
        <v>1470</v>
      </c>
      <c r="G32" s="2">
        <v>82.0</v>
      </c>
      <c r="H32" s="2">
        <v>700.0</v>
      </c>
      <c r="I32" s="2">
        <v>69.0</v>
      </c>
      <c r="J32" s="2" t="s">
        <v>1495</v>
      </c>
      <c r="K32" s="2">
        <v>61.0</v>
      </c>
      <c r="L32" s="2" t="s">
        <v>1558</v>
      </c>
      <c r="M32" s="12">
        <f>+37</f>
        <v>37</v>
      </c>
      <c r="N32" s="2">
        <v>-56.0</v>
      </c>
      <c r="O32" s="12">
        <f>+25</f>
        <v>25</v>
      </c>
      <c r="P32" s="2" t="s">
        <v>1597</v>
      </c>
      <c r="Q32" s="2" t="s">
        <v>1479</v>
      </c>
    </row>
    <row r="33">
      <c r="A33" s="2"/>
      <c r="B33" s="2" t="s">
        <v>296</v>
      </c>
      <c r="C33" s="2" t="s">
        <v>1598</v>
      </c>
      <c r="D33" s="2" t="s">
        <v>1599</v>
      </c>
      <c r="E33" s="2">
        <v>68.0</v>
      </c>
      <c r="F33" s="2" t="s">
        <v>1476</v>
      </c>
      <c r="G33" s="2">
        <v>76.0</v>
      </c>
      <c r="H33" s="2">
        <v>450.0</v>
      </c>
      <c r="I33" s="2">
        <v>60.0</v>
      </c>
      <c r="J33" s="2" t="s">
        <v>1483</v>
      </c>
      <c r="K33" s="2">
        <v>55.0</v>
      </c>
      <c r="L33" s="2" t="s">
        <v>1573</v>
      </c>
      <c r="M33" s="12">
        <f>+34</f>
        <v>34</v>
      </c>
      <c r="N33" s="2">
        <v>-50.0</v>
      </c>
      <c r="O33" s="12">
        <f>+21</f>
        <v>21</v>
      </c>
      <c r="P33" s="2" t="s">
        <v>1600</v>
      </c>
      <c r="Q33" s="2" t="s">
        <v>1473</v>
      </c>
    </row>
    <row r="34">
      <c r="A34" s="2"/>
      <c r="B34" s="2" t="s">
        <v>305</v>
      </c>
      <c r="C34" s="2" t="s">
        <v>1601</v>
      </c>
      <c r="D34" s="2" t="s">
        <v>1602</v>
      </c>
      <c r="E34" s="2">
        <v>71.0</v>
      </c>
      <c r="F34" s="2" t="s">
        <v>1463</v>
      </c>
      <c r="G34" s="2">
        <v>79.0</v>
      </c>
      <c r="H34" s="2">
        <v>600.0</v>
      </c>
      <c r="I34" s="2">
        <v>63.0</v>
      </c>
      <c r="J34" s="2" t="s">
        <v>1489</v>
      </c>
      <c r="K34" s="2">
        <v>57.0</v>
      </c>
      <c r="L34" s="2" t="s">
        <v>1603</v>
      </c>
      <c r="M34" s="12">
        <f>+36</f>
        <v>36</v>
      </c>
      <c r="N34" s="2">
        <v>-53.0</v>
      </c>
      <c r="O34" s="12">
        <f>+23</f>
        <v>23</v>
      </c>
      <c r="P34" s="2" t="s">
        <v>1604</v>
      </c>
      <c r="Q34" s="2" t="s">
        <v>1479</v>
      </c>
    </row>
    <row r="35">
      <c r="A35" s="2"/>
      <c r="B35" s="2" t="s">
        <v>314</v>
      </c>
      <c r="C35" s="2" t="s">
        <v>1605</v>
      </c>
      <c r="D35" s="2" t="s">
        <v>1606</v>
      </c>
      <c r="E35" s="2">
        <v>81.0</v>
      </c>
      <c r="F35" s="2" t="s">
        <v>1469</v>
      </c>
      <c r="G35" s="2">
        <v>87.0</v>
      </c>
      <c r="H35" s="2">
        <v>1000.0</v>
      </c>
      <c r="I35" s="2">
        <v>74.0</v>
      </c>
      <c r="J35" s="2" t="s">
        <v>1509</v>
      </c>
      <c r="K35" s="2">
        <v>67.0</v>
      </c>
      <c r="L35" s="2" t="s">
        <v>1539</v>
      </c>
      <c r="M35" s="12">
        <f>+40</f>
        <v>40</v>
      </c>
      <c r="N35" s="2">
        <v>-61.0</v>
      </c>
      <c r="O35" s="12">
        <f>+27</f>
        <v>27</v>
      </c>
      <c r="P35" s="2" t="s">
        <v>1607</v>
      </c>
      <c r="Q35" s="2" t="s">
        <v>1473</v>
      </c>
    </row>
    <row r="36">
      <c r="A36" s="2"/>
      <c r="B36" s="2" t="s">
        <v>323</v>
      </c>
      <c r="C36" s="2" t="s">
        <v>1608</v>
      </c>
      <c r="D36" s="2" t="s">
        <v>1533</v>
      </c>
      <c r="E36" s="2">
        <v>76.0</v>
      </c>
      <c r="F36" s="2" t="s">
        <v>1609</v>
      </c>
      <c r="G36" s="2">
        <v>82.0</v>
      </c>
      <c r="H36" s="2">
        <v>750.0</v>
      </c>
      <c r="I36" s="2">
        <v>68.0</v>
      </c>
      <c r="J36" s="2" t="s">
        <v>1463</v>
      </c>
      <c r="K36" s="2">
        <v>61.0</v>
      </c>
      <c r="L36" s="2" t="s">
        <v>1610</v>
      </c>
      <c r="M36" s="12">
        <f>+36</f>
        <v>36</v>
      </c>
      <c r="N36" s="2">
        <v>-56.0</v>
      </c>
      <c r="O36" s="12">
        <f>+24</f>
        <v>24</v>
      </c>
      <c r="P36" s="2" t="s">
        <v>1611</v>
      </c>
      <c r="Q36" s="2" t="s">
        <v>1512</v>
      </c>
    </row>
    <row r="37">
      <c r="A37" s="2"/>
      <c r="B37" s="2" t="s">
        <v>332</v>
      </c>
      <c r="C37" s="2" t="s">
        <v>1612</v>
      </c>
      <c r="D37" s="2" t="s">
        <v>1613</v>
      </c>
      <c r="E37" s="2">
        <v>80.0</v>
      </c>
      <c r="F37" s="2" t="s">
        <v>1552</v>
      </c>
      <c r="G37" s="2">
        <v>85.0</v>
      </c>
      <c r="H37" s="2">
        <v>950.0</v>
      </c>
      <c r="I37" s="2">
        <v>72.0</v>
      </c>
      <c r="J37" s="2" t="s">
        <v>1449</v>
      </c>
      <c r="K37" s="2">
        <v>65.0</v>
      </c>
      <c r="L37" s="2" t="s">
        <v>1554</v>
      </c>
      <c r="M37" s="12">
        <f>+38</f>
        <v>38</v>
      </c>
      <c r="N37" s="2">
        <v>-60.0</v>
      </c>
      <c r="O37" s="12">
        <f>+26</f>
        <v>26</v>
      </c>
      <c r="P37" s="2" t="s">
        <v>1614</v>
      </c>
      <c r="Q37" s="2" t="s">
        <v>1473</v>
      </c>
    </row>
    <row r="38">
      <c r="A38" s="2"/>
      <c r="B38" s="2" t="s">
        <v>341</v>
      </c>
      <c r="C38" s="2" t="s">
        <v>1615</v>
      </c>
      <c r="D38" s="2" t="s">
        <v>1616</v>
      </c>
      <c r="E38" s="2">
        <v>70.0</v>
      </c>
      <c r="F38" s="2" t="s">
        <v>1476</v>
      </c>
      <c r="G38" s="2">
        <v>78.0</v>
      </c>
      <c r="H38" s="2">
        <v>520.0</v>
      </c>
      <c r="I38" s="2">
        <v>62.0</v>
      </c>
      <c r="J38" s="2" t="s">
        <v>1483</v>
      </c>
      <c r="K38" s="2">
        <v>55.0</v>
      </c>
      <c r="L38" s="2" t="s">
        <v>1530</v>
      </c>
      <c r="M38" s="12">
        <f>+32</f>
        <v>32</v>
      </c>
      <c r="N38" s="2">
        <v>-51.0</v>
      </c>
      <c r="O38" s="12">
        <f>+21</f>
        <v>21</v>
      </c>
      <c r="P38" s="2" t="s">
        <v>1617</v>
      </c>
      <c r="Q38" s="2" t="s">
        <v>1512</v>
      </c>
    </row>
    <row r="39">
      <c r="A39" s="2"/>
      <c r="B39" s="2" t="s">
        <v>350</v>
      </c>
      <c r="C39" s="2" t="s">
        <v>1618</v>
      </c>
      <c r="D39" s="2" t="s">
        <v>1619</v>
      </c>
      <c r="E39" s="2">
        <v>79.0</v>
      </c>
      <c r="F39" s="2" t="s">
        <v>1538</v>
      </c>
      <c r="G39" s="2">
        <v>85.0</v>
      </c>
      <c r="H39" s="2">
        <v>880.0</v>
      </c>
      <c r="I39" s="2">
        <v>71.0</v>
      </c>
      <c r="J39" s="2" t="s">
        <v>1456</v>
      </c>
      <c r="K39" s="2">
        <v>64.0</v>
      </c>
      <c r="L39" s="2" t="s">
        <v>1610</v>
      </c>
      <c r="M39" s="12">
        <f>+41</f>
        <v>41</v>
      </c>
      <c r="N39" s="2">
        <v>-59.0</v>
      </c>
      <c r="O39" s="12">
        <f>+28</f>
        <v>28</v>
      </c>
      <c r="P39" s="2" t="s">
        <v>1620</v>
      </c>
      <c r="Q39" s="2" t="s">
        <v>1473</v>
      </c>
    </row>
    <row r="40">
      <c r="A40" s="2"/>
      <c r="B40" s="2" t="s">
        <v>359</v>
      </c>
      <c r="C40" s="2" t="s">
        <v>1621</v>
      </c>
      <c r="D40" s="2" t="s">
        <v>1622</v>
      </c>
      <c r="E40" s="2">
        <v>74.0</v>
      </c>
      <c r="F40" s="2" t="s">
        <v>1509</v>
      </c>
      <c r="G40" s="2">
        <v>82.0</v>
      </c>
      <c r="H40" s="2">
        <v>650.0</v>
      </c>
      <c r="I40" s="2">
        <v>68.0</v>
      </c>
      <c r="J40" s="2" t="s">
        <v>1482</v>
      </c>
      <c r="K40" s="2">
        <v>60.0</v>
      </c>
      <c r="L40" s="2" t="s">
        <v>1623</v>
      </c>
      <c r="M40" s="12">
        <f>+35</f>
        <v>35</v>
      </c>
      <c r="N40" s="2">
        <v>-55.0</v>
      </c>
      <c r="O40" s="12">
        <f t="shared" ref="O40:O41" si="1">+25</f>
        <v>25</v>
      </c>
      <c r="P40" s="2" t="s">
        <v>1624</v>
      </c>
      <c r="Q40" s="2" t="s">
        <v>1479</v>
      </c>
    </row>
    <row r="41">
      <c r="A41" s="2"/>
      <c r="B41" s="2" t="s">
        <v>368</v>
      </c>
      <c r="C41" s="2" t="s">
        <v>1625</v>
      </c>
      <c r="D41" s="2" t="s">
        <v>1626</v>
      </c>
      <c r="E41" s="2">
        <v>77.0</v>
      </c>
      <c r="F41" s="2" t="s">
        <v>1520</v>
      </c>
      <c r="G41" s="2">
        <v>83.0</v>
      </c>
      <c r="H41" s="2">
        <v>900.0</v>
      </c>
      <c r="I41" s="2">
        <v>70.0</v>
      </c>
      <c r="J41" s="2" t="s">
        <v>1495</v>
      </c>
      <c r="K41" s="2">
        <v>63.0</v>
      </c>
      <c r="L41" s="2" t="s">
        <v>1562</v>
      </c>
      <c r="M41" s="12">
        <f>+36</f>
        <v>36</v>
      </c>
      <c r="N41" s="2">
        <v>-57.0</v>
      </c>
      <c r="O41" s="12">
        <f t="shared" si="1"/>
        <v>25</v>
      </c>
      <c r="P41" s="2" t="s">
        <v>1627</v>
      </c>
      <c r="Q41" s="2" t="s">
        <v>1473</v>
      </c>
    </row>
    <row r="42">
      <c r="A42" s="2"/>
      <c r="B42" s="2" t="s">
        <v>377</v>
      </c>
      <c r="C42" s="2" t="s">
        <v>1628</v>
      </c>
      <c r="D42" s="2" t="s">
        <v>1629</v>
      </c>
      <c r="E42" s="2">
        <v>72.0</v>
      </c>
      <c r="F42" s="2" t="s">
        <v>1449</v>
      </c>
      <c r="G42" s="2">
        <v>79.0</v>
      </c>
      <c r="H42" s="2">
        <v>620.0</v>
      </c>
      <c r="I42" s="2">
        <v>65.0</v>
      </c>
      <c r="J42" s="2" t="s">
        <v>1476</v>
      </c>
      <c r="K42" s="2">
        <v>59.0</v>
      </c>
      <c r="L42" s="2" t="s">
        <v>1539</v>
      </c>
      <c r="M42" s="12">
        <f>+35</f>
        <v>35</v>
      </c>
      <c r="N42" s="2">
        <v>-55.0</v>
      </c>
      <c r="O42" s="12">
        <f>+23</f>
        <v>23</v>
      </c>
      <c r="P42" s="2" t="s">
        <v>1630</v>
      </c>
      <c r="Q42" s="2" t="s">
        <v>1459</v>
      </c>
    </row>
    <row r="43">
      <c r="A43" s="2"/>
      <c r="B43" s="2" t="s">
        <v>386</v>
      </c>
      <c r="C43" s="2" t="s">
        <v>1631</v>
      </c>
      <c r="D43" s="2" t="s">
        <v>1632</v>
      </c>
      <c r="E43" s="2">
        <v>81.0</v>
      </c>
      <c r="F43" s="2" t="s">
        <v>1633</v>
      </c>
      <c r="G43" s="2">
        <v>86.0</v>
      </c>
      <c r="H43" s="2">
        <v>1050.0</v>
      </c>
      <c r="I43" s="2">
        <v>74.0</v>
      </c>
      <c r="J43" s="2" t="s">
        <v>1509</v>
      </c>
      <c r="K43" s="2">
        <v>67.0</v>
      </c>
      <c r="L43" s="2" t="s">
        <v>1634</v>
      </c>
      <c r="M43" s="12">
        <f>+42</f>
        <v>42</v>
      </c>
      <c r="N43" s="2">
        <v>-60.0</v>
      </c>
      <c r="O43" s="12">
        <f>+28</f>
        <v>28</v>
      </c>
      <c r="P43" s="2" t="s">
        <v>1635</v>
      </c>
      <c r="Q43" s="2" t="s">
        <v>1459</v>
      </c>
    </row>
    <row r="44">
      <c r="A44" s="2"/>
      <c r="B44" s="2" t="s">
        <v>395</v>
      </c>
      <c r="C44" s="2" t="s">
        <v>1636</v>
      </c>
      <c r="D44" s="2" t="s">
        <v>1637</v>
      </c>
      <c r="E44" s="2">
        <v>68.0</v>
      </c>
      <c r="F44" s="2" t="s">
        <v>1482</v>
      </c>
      <c r="G44" s="2">
        <v>76.0</v>
      </c>
      <c r="H44" s="2">
        <v>480.0</v>
      </c>
      <c r="I44" s="2">
        <v>61.0</v>
      </c>
      <c r="J44" s="2" t="s">
        <v>1483</v>
      </c>
      <c r="K44" s="2">
        <v>55.0</v>
      </c>
      <c r="L44" s="2" t="s">
        <v>1530</v>
      </c>
      <c r="M44" s="12">
        <f>+32</f>
        <v>32</v>
      </c>
      <c r="N44" s="2">
        <v>-52.0</v>
      </c>
      <c r="O44" s="12">
        <f>+22</f>
        <v>22</v>
      </c>
      <c r="P44" s="2" t="s">
        <v>1638</v>
      </c>
      <c r="Q44" s="2" t="s">
        <v>1479</v>
      </c>
    </row>
    <row r="45">
      <c r="A45" s="2"/>
      <c r="B45" s="2" t="s">
        <v>404</v>
      </c>
      <c r="C45" s="2" t="s">
        <v>1639</v>
      </c>
      <c r="D45" s="2" t="s">
        <v>1640</v>
      </c>
      <c r="E45" s="2">
        <v>75.0</v>
      </c>
      <c r="F45" s="2" t="s">
        <v>1470</v>
      </c>
      <c r="G45" s="2">
        <v>82.0</v>
      </c>
      <c r="H45" s="2">
        <v>700.0</v>
      </c>
      <c r="I45" s="2">
        <v>69.0</v>
      </c>
      <c r="J45" s="2" t="s">
        <v>1463</v>
      </c>
      <c r="K45" s="2">
        <v>61.0</v>
      </c>
      <c r="L45" s="2" t="s">
        <v>1610</v>
      </c>
      <c r="M45" s="12">
        <f>+37</f>
        <v>37</v>
      </c>
      <c r="N45" s="2">
        <v>-56.0</v>
      </c>
      <c r="O45" s="12">
        <f>+25</f>
        <v>25</v>
      </c>
      <c r="P45" s="2" t="s">
        <v>1641</v>
      </c>
      <c r="Q45" s="2" t="s">
        <v>1473</v>
      </c>
    </row>
    <row r="46">
      <c r="A46" s="2"/>
      <c r="B46" s="2" t="s">
        <v>1642</v>
      </c>
      <c r="C46" s="2" t="s">
        <v>1643</v>
      </c>
      <c r="D46" s="2" t="s">
        <v>1644</v>
      </c>
      <c r="E46" s="2">
        <v>70.0</v>
      </c>
      <c r="F46" s="2" t="s">
        <v>1476</v>
      </c>
      <c r="G46" s="2">
        <v>78.0</v>
      </c>
      <c r="H46" s="2">
        <v>520.0</v>
      </c>
      <c r="I46" s="2">
        <v>62.0</v>
      </c>
      <c r="J46" s="2" t="s">
        <v>1483</v>
      </c>
      <c r="K46" s="2">
        <v>56.0</v>
      </c>
      <c r="L46" s="2" t="s">
        <v>1566</v>
      </c>
      <c r="M46" s="12">
        <f>+33</f>
        <v>33</v>
      </c>
      <c r="N46" s="2">
        <v>-52.0</v>
      </c>
      <c r="O46" s="12">
        <f>+22</f>
        <v>22</v>
      </c>
      <c r="P46" s="2" t="s">
        <v>1645</v>
      </c>
      <c r="Q46" s="2" t="s">
        <v>1512</v>
      </c>
    </row>
    <row r="47">
      <c r="A47" s="2"/>
      <c r="B47" s="2" t="s">
        <v>422</v>
      </c>
      <c r="C47" s="2" t="s">
        <v>1646</v>
      </c>
      <c r="D47" s="2" t="s">
        <v>1647</v>
      </c>
      <c r="E47" s="2">
        <v>77.0</v>
      </c>
      <c r="F47" s="2" t="s">
        <v>1470</v>
      </c>
      <c r="G47" s="2">
        <v>83.0</v>
      </c>
      <c r="H47" s="2">
        <v>750.0</v>
      </c>
      <c r="I47" s="2">
        <v>68.0</v>
      </c>
      <c r="J47" s="2" t="s">
        <v>1463</v>
      </c>
      <c r="K47" s="2">
        <v>60.0</v>
      </c>
      <c r="L47" s="2" t="s">
        <v>1534</v>
      </c>
      <c r="M47" s="12">
        <f>+35</f>
        <v>35</v>
      </c>
      <c r="N47" s="2">
        <v>-57.0</v>
      </c>
      <c r="O47" s="12">
        <f>+25</f>
        <v>25</v>
      </c>
      <c r="P47" s="2" t="s">
        <v>1648</v>
      </c>
      <c r="Q47" s="2" t="s">
        <v>1473</v>
      </c>
    </row>
    <row r="48">
      <c r="A48" s="2"/>
      <c r="B48" s="2" t="s">
        <v>431</v>
      </c>
      <c r="C48" s="2" t="s">
        <v>1649</v>
      </c>
      <c r="D48" s="2" t="s">
        <v>1650</v>
      </c>
      <c r="E48" s="2">
        <v>79.0</v>
      </c>
      <c r="F48" s="2" t="s">
        <v>1538</v>
      </c>
      <c r="G48" s="2">
        <v>85.0</v>
      </c>
      <c r="H48" s="2">
        <v>880.0</v>
      </c>
      <c r="I48" s="2">
        <v>71.0</v>
      </c>
      <c r="J48" s="2" t="s">
        <v>1456</v>
      </c>
      <c r="K48" s="2">
        <v>64.0</v>
      </c>
      <c r="L48" s="2" t="s">
        <v>1623</v>
      </c>
      <c r="M48" s="12">
        <f>+38</f>
        <v>38</v>
      </c>
      <c r="N48" s="2">
        <v>-59.0</v>
      </c>
      <c r="O48" s="12">
        <f>+26</f>
        <v>26</v>
      </c>
      <c r="P48" s="2" t="s">
        <v>1651</v>
      </c>
      <c r="Q48" s="2" t="s">
        <v>1479</v>
      </c>
    </row>
    <row r="49">
      <c r="A49" s="2"/>
      <c r="B49" s="2" t="s">
        <v>440</v>
      </c>
      <c r="C49" s="2" t="s">
        <v>1652</v>
      </c>
      <c r="D49" s="2" t="s">
        <v>1653</v>
      </c>
      <c r="E49" s="2">
        <v>70.0</v>
      </c>
      <c r="F49" s="2" t="s">
        <v>1482</v>
      </c>
      <c r="G49" s="2">
        <v>77.0</v>
      </c>
      <c r="H49" s="2">
        <v>520.0</v>
      </c>
      <c r="I49" s="2">
        <v>62.0</v>
      </c>
      <c r="J49" s="2" t="s">
        <v>1489</v>
      </c>
      <c r="K49" s="2">
        <v>56.0</v>
      </c>
      <c r="L49" s="2" t="s">
        <v>1543</v>
      </c>
      <c r="M49" s="12">
        <f>+32</f>
        <v>32</v>
      </c>
      <c r="N49" s="2">
        <v>-51.0</v>
      </c>
      <c r="O49" s="12">
        <f>+21</f>
        <v>21</v>
      </c>
      <c r="P49" s="2" t="s">
        <v>1654</v>
      </c>
      <c r="Q49" s="2" t="s">
        <v>1473</v>
      </c>
    </row>
    <row r="50">
      <c r="A50" s="2"/>
      <c r="B50" s="2" t="s">
        <v>449</v>
      </c>
      <c r="C50" s="2" t="s">
        <v>1655</v>
      </c>
      <c r="D50" s="2" t="s">
        <v>1656</v>
      </c>
      <c r="E50" s="2">
        <v>76.0</v>
      </c>
      <c r="F50" s="2" t="s">
        <v>1470</v>
      </c>
      <c r="G50" s="2">
        <v>82.0</v>
      </c>
      <c r="H50" s="2">
        <v>720.0</v>
      </c>
      <c r="I50" s="2">
        <v>68.0</v>
      </c>
      <c r="J50" s="2" t="s">
        <v>1482</v>
      </c>
      <c r="K50" s="2">
        <v>61.0</v>
      </c>
      <c r="L50" s="2" t="s">
        <v>1657</v>
      </c>
      <c r="M50" s="12">
        <f>+36</f>
        <v>36</v>
      </c>
      <c r="N50" s="2">
        <v>-56.0</v>
      </c>
      <c r="O50" s="12">
        <f>+24</f>
        <v>24</v>
      </c>
      <c r="P50" s="2" t="s">
        <v>1658</v>
      </c>
      <c r="Q50" s="2" t="s">
        <v>1479</v>
      </c>
    </row>
    <row r="51">
      <c r="A51" s="2"/>
      <c r="B51" s="2" t="s">
        <v>458</v>
      </c>
      <c r="C51" s="2" t="s">
        <v>1659</v>
      </c>
      <c r="D51" s="2" t="s">
        <v>1660</v>
      </c>
      <c r="E51" s="2">
        <v>83.0</v>
      </c>
      <c r="F51" s="2" t="s">
        <v>1469</v>
      </c>
      <c r="G51" s="2">
        <v>88.0</v>
      </c>
      <c r="H51" s="2">
        <v>1000.0</v>
      </c>
      <c r="I51" s="2">
        <v>76.0</v>
      </c>
      <c r="J51" s="2" t="s">
        <v>1509</v>
      </c>
      <c r="K51" s="2">
        <v>69.0</v>
      </c>
      <c r="L51" s="2" t="s">
        <v>1554</v>
      </c>
      <c r="M51" s="12">
        <f>+40</f>
        <v>40</v>
      </c>
      <c r="N51" s="2">
        <v>-62.0</v>
      </c>
      <c r="O51" s="12">
        <f>+28</f>
        <v>28</v>
      </c>
      <c r="P51" s="2" t="s">
        <v>1661</v>
      </c>
      <c r="Q51" s="2" t="s">
        <v>1473</v>
      </c>
    </row>
    <row r="52">
      <c r="A52" s="2"/>
      <c r="B52" s="2" t="s">
        <v>467</v>
      </c>
      <c r="C52" s="2" t="s">
        <v>1662</v>
      </c>
      <c r="D52" s="2" t="s">
        <v>1663</v>
      </c>
      <c r="E52" s="2">
        <v>78.0</v>
      </c>
      <c r="F52" s="2" t="s">
        <v>1455</v>
      </c>
      <c r="G52" s="2">
        <v>85.0</v>
      </c>
      <c r="H52" s="2">
        <v>940.0</v>
      </c>
      <c r="I52" s="2">
        <v>72.0</v>
      </c>
      <c r="J52" s="2" t="s">
        <v>1449</v>
      </c>
      <c r="K52" s="2">
        <v>65.0</v>
      </c>
      <c r="L52" s="2" t="s">
        <v>1539</v>
      </c>
      <c r="M52" s="12">
        <f>+37</f>
        <v>37</v>
      </c>
      <c r="N52" s="2">
        <v>-59.0</v>
      </c>
      <c r="O52" s="12">
        <f>+26</f>
        <v>26</v>
      </c>
      <c r="P52" s="2" t="s">
        <v>1664</v>
      </c>
      <c r="Q52" s="2" t="s">
        <v>1479</v>
      </c>
    </row>
    <row r="53">
      <c r="A53" s="2"/>
      <c r="B53" s="2" t="s">
        <v>476</v>
      </c>
      <c r="C53" s="2" t="s">
        <v>1665</v>
      </c>
      <c r="D53" s="2" t="s">
        <v>1666</v>
      </c>
      <c r="E53" s="2">
        <v>71.0</v>
      </c>
      <c r="F53" s="2" t="s">
        <v>1463</v>
      </c>
      <c r="G53" s="2">
        <v>78.0</v>
      </c>
      <c r="H53" s="2">
        <v>520.0</v>
      </c>
      <c r="I53" s="2">
        <v>63.0</v>
      </c>
      <c r="J53" s="2" t="s">
        <v>1489</v>
      </c>
      <c r="K53" s="2">
        <v>57.0</v>
      </c>
      <c r="L53" s="2" t="s">
        <v>1543</v>
      </c>
      <c r="M53" s="12">
        <f>+32</f>
        <v>32</v>
      </c>
      <c r="N53" s="2">
        <v>-52.0</v>
      </c>
      <c r="O53" s="12">
        <f>+22</f>
        <v>22</v>
      </c>
      <c r="P53" s="2" t="s">
        <v>1667</v>
      </c>
      <c r="Q53" s="2" t="s">
        <v>1459</v>
      </c>
    </row>
    <row r="54">
      <c r="A54" s="2"/>
      <c r="B54" s="2" t="s">
        <v>485</v>
      </c>
      <c r="C54" s="2" t="s">
        <v>1668</v>
      </c>
      <c r="D54" s="2" t="s">
        <v>1669</v>
      </c>
      <c r="E54" s="2">
        <v>74.0</v>
      </c>
      <c r="F54" s="2" t="s">
        <v>1449</v>
      </c>
      <c r="G54" s="2">
        <v>81.0</v>
      </c>
      <c r="H54" s="2">
        <v>620.0</v>
      </c>
      <c r="I54" s="2">
        <v>66.0</v>
      </c>
      <c r="J54" s="2" t="s">
        <v>1476</v>
      </c>
      <c r="K54" s="2">
        <v>59.0</v>
      </c>
      <c r="L54" s="2" t="s">
        <v>1558</v>
      </c>
      <c r="M54" s="12">
        <f>+35</f>
        <v>35</v>
      </c>
      <c r="N54" s="2">
        <v>-55.0</v>
      </c>
      <c r="O54" s="12">
        <f>+24</f>
        <v>24</v>
      </c>
      <c r="P54" s="2" t="s">
        <v>1670</v>
      </c>
      <c r="Q54" s="2" t="s">
        <v>1479</v>
      </c>
    </row>
    <row r="55">
      <c r="A55" s="2"/>
      <c r="B55" s="2" t="s">
        <v>494</v>
      </c>
      <c r="C55" s="2" t="s">
        <v>1671</v>
      </c>
      <c r="D55" s="2" t="s">
        <v>1672</v>
      </c>
      <c r="E55" s="2">
        <v>67.0</v>
      </c>
      <c r="F55" s="2" t="s">
        <v>1489</v>
      </c>
      <c r="G55" s="2">
        <v>75.0</v>
      </c>
      <c r="H55" s="2">
        <v>480.0</v>
      </c>
      <c r="I55" s="2">
        <v>59.0</v>
      </c>
      <c r="J55" s="2" t="s">
        <v>1529</v>
      </c>
      <c r="K55" s="2">
        <v>54.0</v>
      </c>
      <c r="L55" s="2" t="s">
        <v>1585</v>
      </c>
      <c r="M55" s="12">
        <f>+30</f>
        <v>30</v>
      </c>
      <c r="N55" s="2">
        <v>-49.0</v>
      </c>
      <c r="O55" s="12">
        <f>+20</f>
        <v>20</v>
      </c>
      <c r="P55" s="2" t="s">
        <v>1673</v>
      </c>
      <c r="Q55" s="2" t="s">
        <v>1473</v>
      </c>
    </row>
    <row r="56">
      <c r="A56" s="2"/>
      <c r="B56" s="2" t="s">
        <v>502</v>
      </c>
      <c r="C56" s="2" t="s">
        <v>1674</v>
      </c>
      <c r="D56" s="2" t="s">
        <v>1675</v>
      </c>
      <c r="E56" s="2">
        <v>70.0</v>
      </c>
      <c r="F56" s="2" t="s">
        <v>1495</v>
      </c>
      <c r="G56" s="2">
        <v>78.0</v>
      </c>
      <c r="H56" s="2">
        <v>560.0</v>
      </c>
      <c r="I56" s="2">
        <v>62.0</v>
      </c>
      <c r="J56" s="2" t="s">
        <v>1483</v>
      </c>
      <c r="K56" s="2">
        <v>56.0</v>
      </c>
      <c r="L56" s="2" t="s">
        <v>1573</v>
      </c>
      <c r="M56" s="12">
        <f>+38</f>
        <v>38</v>
      </c>
      <c r="N56" s="2">
        <v>-53.0</v>
      </c>
      <c r="O56" s="12">
        <f>+23</f>
        <v>23</v>
      </c>
      <c r="P56" s="2" t="s">
        <v>1676</v>
      </c>
      <c r="Q56" s="2" t="s">
        <v>1479</v>
      </c>
    </row>
    <row r="57">
      <c r="A57" s="2"/>
      <c r="B57" s="2" t="s">
        <v>511</v>
      </c>
      <c r="C57" s="2" t="s">
        <v>1677</v>
      </c>
      <c r="D57" s="2" t="s">
        <v>1678</v>
      </c>
      <c r="E57" s="2">
        <v>73.0</v>
      </c>
      <c r="F57" s="2" t="s">
        <v>1456</v>
      </c>
      <c r="G57" s="2">
        <v>80.0</v>
      </c>
      <c r="H57" s="2">
        <v>600.0</v>
      </c>
      <c r="I57" s="2">
        <v>65.0</v>
      </c>
      <c r="J57" s="2" t="s">
        <v>1489</v>
      </c>
      <c r="K57" s="2">
        <v>58.0</v>
      </c>
      <c r="L57" s="2" t="s">
        <v>1566</v>
      </c>
      <c r="M57" s="12">
        <f>+34</f>
        <v>34</v>
      </c>
      <c r="N57" s="2">
        <v>-56.0</v>
      </c>
      <c r="O57" s="12">
        <f>+24</f>
        <v>24</v>
      </c>
      <c r="P57" s="2" t="s">
        <v>1679</v>
      </c>
      <c r="Q57" s="2" t="s">
        <v>1549</v>
      </c>
    </row>
    <row r="58">
      <c r="A58" s="2"/>
      <c r="B58" s="2" t="s">
        <v>520</v>
      </c>
      <c r="C58" s="2" t="s">
        <v>1680</v>
      </c>
      <c r="D58" s="2" t="s">
        <v>1681</v>
      </c>
      <c r="E58" s="2">
        <v>76.0</v>
      </c>
      <c r="F58" s="2" t="s">
        <v>1470</v>
      </c>
      <c r="G58" s="2">
        <v>82.0</v>
      </c>
      <c r="H58" s="2">
        <v>700.0</v>
      </c>
      <c r="I58" s="2">
        <v>68.0</v>
      </c>
      <c r="J58" s="2" t="s">
        <v>1463</v>
      </c>
      <c r="K58" s="2">
        <v>61.0</v>
      </c>
      <c r="L58" s="2" t="s">
        <v>1534</v>
      </c>
      <c r="M58" s="12">
        <f>+36</f>
        <v>36</v>
      </c>
      <c r="N58" s="2">
        <v>-57.0</v>
      </c>
      <c r="O58" s="12">
        <f>+25</f>
        <v>25</v>
      </c>
      <c r="P58" s="2" t="s">
        <v>1682</v>
      </c>
      <c r="Q58" s="2" t="s">
        <v>1473</v>
      </c>
    </row>
    <row r="59">
      <c r="A59" s="2"/>
      <c r="B59" s="2" t="s">
        <v>527</v>
      </c>
      <c r="C59" s="2" t="s">
        <v>1683</v>
      </c>
      <c r="D59" s="2" t="s">
        <v>1684</v>
      </c>
      <c r="E59" s="2">
        <v>78.0</v>
      </c>
      <c r="F59" s="2" t="s">
        <v>1515</v>
      </c>
      <c r="G59" s="2">
        <v>85.0</v>
      </c>
      <c r="H59" s="2">
        <v>880.0</v>
      </c>
      <c r="I59" s="2">
        <v>71.0</v>
      </c>
      <c r="J59" s="2" t="s">
        <v>1456</v>
      </c>
      <c r="K59" s="2">
        <v>64.0</v>
      </c>
      <c r="L59" s="2" t="s">
        <v>1610</v>
      </c>
      <c r="M59" s="12">
        <f>+37</f>
        <v>37</v>
      </c>
      <c r="N59" s="2">
        <v>-59.0</v>
      </c>
      <c r="O59" s="12">
        <f t="shared" ref="O59:O60" si="2">+26</f>
        <v>26</v>
      </c>
      <c r="P59" s="2" t="s">
        <v>1685</v>
      </c>
      <c r="Q59" s="2" t="s">
        <v>1479</v>
      </c>
    </row>
    <row r="60">
      <c r="A60" s="2"/>
      <c r="B60" s="2" t="s">
        <v>536</v>
      </c>
      <c r="C60" s="2" t="s">
        <v>1686</v>
      </c>
      <c r="D60" s="2" t="s">
        <v>1687</v>
      </c>
      <c r="E60" s="2">
        <v>77.0</v>
      </c>
      <c r="F60" s="2" t="s">
        <v>1609</v>
      </c>
      <c r="G60" s="2">
        <v>84.0</v>
      </c>
      <c r="H60" s="2">
        <v>820.0</v>
      </c>
      <c r="I60" s="2">
        <v>70.0</v>
      </c>
      <c r="J60" s="2" t="s">
        <v>1495</v>
      </c>
      <c r="K60" s="2">
        <v>63.0</v>
      </c>
      <c r="L60" s="2" t="s">
        <v>1657</v>
      </c>
      <c r="M60" s="12">
        <f>+39</f>
        <v>39</v>
      </c>
      <c r="N60" s="2">
        <v>-58.0</v>
      </c>
      <c r="O60" s="12">
        <f t="shared" si="2"/>
        <v>26</v>
      </c>
      <c r="P60" s="2" t="s">
        <v>1688</v>
      </c>
      <c r="Q60" s="2" t="s">
        <v>1473</v>
      </c>
    </row>
    <row r="61">
      <c r="A61" s="2"/>
      <c r="B61" s="2" t="s">
        <v>545</v>
      </c>
      <c r="C61" s="2" t="s">
        <v>1689</v>
      </c>
      <c r="D61" s="2" t="s">
        <v>1690</v>
      </c>
      <c r="E61" s="2">
        <v>69.0</v>
      </c>
      <c r="F61" s="2" t="s">
        <v>1476</v>
      </c>
      <c r="G61" s="2">
        <v>77.0</v>
      </c>
      <c r="H61" s="2">
        <v>520.0</v>
      </c>
      <c r="I61" s="2">
        <v>61.0</v>
      </c>
      <c r="J61" s="2" t="s">
        <v>1483</v>
      </c>
      <c r="K61" s="2">
        <v>55.0</v>
      </c>
      <c r="L61" s="2" t="s">
        <v>1530</v>
      </c>
      <c r="M61" s="12">
        <f>+28</f>
        <v>28</v>
      </c>
      <c r="N61" s="2">
        <v>-50.0</v>
      </c>
      <c r="O61" s="12">
        <f>+19</f>
        <v>19</v>
      </c>
      <c r="P61" s="2" t="s">
        <v>1691</v>
      </c>
      <c r="Q61" s="2" t="s">
        <v>1549</v>
      </c>
    </row>
    <row r="62">
      <c r="A62" s="2"/>
      <c r="B62" s="2" t="s">
        <v>554</v>
      </c>
      <c r="C62" s="2" t="s">
        <v>1692</v>
      </c>
      <c r="D62" s="2" t="s">
        <v>1693</v>
      </c>
      <c r="E62" s="2">
        <v>71.0</v>
      </c>
      <c r="F62" s="2" t="s">
        <v>1482</v>
      </c>
      <c r="G62" s="2">
        <v>79.0</v>
      </c>
      <c r="H62" s="2">
        <v>560.0</v>
      </c>
      <c r="I62" s="2">
        <v>63.0</v>
      </c>
      <c r="J62" s="2" t="s">
        <v>1489</v>
      </c>
      <c r="K62" s="2">
        <v>57.0</v>
      </c>
      <c r="L62" s="2" t="s">
        <v>1573</v>
      </c>
      <c r="M62" s="12">
        <f>+30</f>
        <v>30</v>
      </c>
      <c r="N62" s="2">
        <v>-51.0</v>
      </c>
      <c r="O62" s="12">
        <f>+20</f>
        <v>20</v>
      </c>
      <c r="P62" s="2" t="s">
        <v>1694</v>
      </c>
      <c r="Q62" s="2" t="s">
        <v>1512</v>
      </c>
    </row>
    <row r="63">
      <c r="A63" s="2"/>
      <c r="B63" s="2" t="s">
        <v>563</v>
      </c>
      <c r="C63" s="2" t="s">
        <v>1695</v>
      </c>
      <c r="D63" s="2" t="s">
        <v>1696</v>
      </c>
      <c r="E63" s="2">
        <v>75.0</v>
      </c>
      <c r="F63" s="2" t="s">
        <v>1470</v>
      </c>
      <c r="G63" s="2">
        <v>83.0</v>
      </c>
      <c r="H63" s="2">
        <v>740.0</v>
      </c>
      <c r="I63" s="2">
        <v>68.0</v>
      </c>
      <c r="J63" s="2" t="s">
        <v>1463</v>
      </c>
      <c r="K63" s="2">
        <v>61.0</v>
      </c>
      <c r="L63" s="2" t="s">
        <v>1539</v>
      </c>
      <c r="M63" s="12">
        <f>+33</f>
        <v>33</v>
      </c>
      <c r="N63" s="2">
        <v>-55.0</v>
      </c>
      <c r="O63" s="12">
        <f>+23</f>
        <v>23</v>
      </c>
      <c r="P63" s="2" t="s">
        <v>1697</v>
      </c>
      <c r="Q63" s="2" t="s">
        <v>1473</v>
      </c>
    </row>
    <row r="64">
      <c r="A64" s="2"/>
      <c r="B64" s="2" t="s">
        <v>572</v>
      </c>
      <c r="C64" s="2" t="s">
        <v>1698</v>
      </c>
      <c r="D64" s="2" t="s">
        <v>1699</v>
      </c>
      <c r="E64" s="2">
        <v>82.0</v>
      </c>
      <c r="F64" s="2" t="s">
        <v>1448</v>
      </c>
      <c r="G64" s="2">
        <v>90.0</v>
      </c>
      <c r="H64" s="2" t="s">
        <v>1700</v>
      </c>
      <c r="I64" s="2">
        <v>76.0</v>
      </c>
      <c r="J64" s="2" t="s">
        <v>1609</v>
      </c>
      <c r="K64" s="2">
        <v>68.0</v>
      </c>
      <c r="L64" s="2" t="s">
        <v>1701</v>
      </c>
      <c r="M64" s="12">
        <f>+45</f>
        <v>45</v>
      </c>
      <c r="N64" s="2">
        <v>-65.0</v>
      </c>
      <c r="O64" s="12">
        <f>+30</f>
        <v>30</v>
      </c>
      <c r="P64" s="2" t="s">
        <v>1702</v>
      </c>
      <c r="Q64" s="2" t="s">
        <v>1703</v>
      </c>
    </row>
    <row r="65">
      <c r="A65" s="2"/>
      <c r="B65" s="2" t="s">
        <v>581</v>
      </c>
      <c r="C65" s="2" t="s">
        <v>1704</v>
      </c>
      <c r="D65" s="2" t="s">
        <v>1705</v>
      </c>
      <c r="E65" s="2">
        <v>66.0</v>
      </c>
      <c r="F65" s="2" t="s">
        <v>1483</v>
      </c>
      <c r="G65" s="2">
        <v>74.0</v>
      </c>
      <c r="H65" s="2">
        <v>420.0</v>
      </c>
      <c r="I65" s="2">
        <v>58.0</v>
      </c>
      <c r="J65" s="2" t="s">
        <v>1529</v>
      </c>
      <c r="K65" s="2">
        <v>53.0</v>
      </c>
      <c r="L65" s="2" t="s">
        <v>1547</v>
      </c>
      <c r="M65" s="12">
        <f>+29</f>
        <v>29</v>
      </c>
      <c r="N65" s="2">
        <v>-49.0</v>
      </c>
      <c r="O65" s="12">
        <f>+19</f>
        <v>19</v>
      </c>
      <c r="P65" s="2" t="s">
        <v>1706</v>
      </c>
      <c r="Q65" s="2" t="s">
        <v>1512</v>
      </c>
    </row>
    <row r="66">
      <c r="A66" s="2"/>
      <c r="B66" s="2" t="s">
        <v>590</v>
      </c>
      <c r="C66" s="2" t="s">
        <v>1707</v>
      </c>
      <c r="D66" s="2" t="s">
        <v>1708</v>
      </c>
      <c r="E66" s="2">
        <v>72.0</v>
      </c>
      <c r="F66" s="2" t="s">
        <v>1463</v>
      </c>
      <c r="G66" s="2">
        <v>80.0</v>
      </c>
      <c r="H66" s="2">
        <v>620.0</v>
      </c>
      <c r="I66" s="2">
        <v>65.0</v>
      </c>
      <c r="J66" s="2" t="s">
        <v>1476</v>
      </c>
      <c r="K66" s="2">
        <v>58.0</v>
      </c>
      <c r="L66" s="2" t="s">
        <v>1543</v>
      </c>
      <c r="M66" s="12">
        <f>+40</f>
        <v>40</v>
      </c>
      <c r="N66" s="2">
        <v>-55.0</v>
      </c>
      <c r="O66" s="12">
        <f>+24</f>
        <v>24</v>
      </c>
      <c r="P66" s="2" t="s">
        <v>1709</v>
      </c>
      <c r="Q66" s="2" t="s">
        <v>1479</v>
      </c>
    </row>
    <row r="67">
      <c r="A67" s="2"/>
      <c r="B67" s="2" t="s">
        <v>1710</v>
      </c>
      <c r="C67" s="2" t="s">
        <v>1711</v>
      </c>
      <c r="D67" s="2" t="s">
        <v>1712</v>
      </c>
      <c r="E67" s="2">
        <v>69.0</v>
      </c>
      <c r="F67" s="2" t="s">
        <v>1476</v>
      </c>
      <c r="G67" s="2">
        <v>76.0</v>
      </c>
      <c r="H67" s="2">
        <v>480.0</v>
      </c>
      <c r="I67" s="2">
        <v>61.0</v>
      </c>
      <c r="J67" s="2" t="s">
        <v>1483</v>
      </c>
      <c r="K67" s="2">
        <v>55.0</v>
      </c>
      <c r="L67" s="2" t="s">
        <v>1585</v>
      </c>
      <c r="M67" s="12">
        <f>+32</f>
        <v>32</v>
      </c>
      <c r="N67" s="2">
        <v>-52.0</v>
      </c>
      <c r="O67" s="12">
        <f>+22</f>
        <v>22</v>
      </c>
      <c r="P67" s="2" t="s">
        <v>1713</v>
      </c>
      <c r="Q67" s="2" t="s">
        <v>1459</v>
      </c>
    </row>
    <row r="68">
      <c r="A68" s="2"/>
      <c r="B68" s="2" t="s">
        <v>1148</v>
      </c>
      <c r="C68" s="2" t="s">
        <v>1714</v>
      </c>
      <c r="D68" s="2" t="s">
        <v>1715</v>
      </c>
      <c r="E68" s="2">
        <v>78.0</v>
      </c>
      <c r="F68" s="2" t="s">
        <v>1515</v>
      </c>
      <c r="G68" s="2">
        <v>84.0</v>
      </c>
      <c r="H68" s="2">
        <v>900.0</v>
      </c>
      <c r="I68" s="2">
        <v>70.0</v>
      </c>
      <c r="J68" s="2" t="s">
        <v>1495</v>
      </c>
      <c r="K68" s="2">
        <v>63.0</v>
      </c>
      <c r="L68" s="2" t="s">
        <v>1610</v>
      </c>
      <c r="M68" s="12">
        <f>+38</f>
        <v>38</v>
      </c>
      <c r="N68" s="2">
        <v>-58.0</v>
      </c>
      <c r="O68" s="12">
        <f>+26</f>
        <v>26</v>
      </c>
      <c r="P68" s="2" t="s">
        <v>1716</v>
      </c>
      <c r="Q68" s="2" t="s">
        <v>1459</v>
      </c>
    </row>
    <row r="69">
      <c r="A69" s="2"/>
      <c r="B69" s="2" t="s">
        <v>1717</v>
      </c>
      <c r="C69" s="2" t="s">
        <v>1718</v>
      </c>
      <c r="D69" s="2" t="s">
        <v>1719</v>
      </c>
      <c r="E69" s="2">
        <v>65.0</v>
      </c>
      <c r="F69" s="2" t="s">
        <v>1483</v>
      </c>
      <c r="G69" s="2">
        <v>73.0</v>
      </c>
      <c r="H69" s="2">
        <v>420.0</v>
      </c>
      <c r="I69" s="2">
        <v>58.0</v>
      </c>
      <c r="J69" s="2" t="s">
        <v>1529</v>
      </c>
      <c r="K69" s="2">
        <v>53.0</v>
      </c>
      <c r="L69" s="2" t="s">
        <v>1547</v>
      </c>
      <c r="M69" s="12">
        <f>+28</f>
        <v>28</v>
      </c>
      <c r="N69" s="2">
        <v>-49.0</v>
      </c>
      <c r="O69" s="12">
        <f>+18</f>
        <v>18</v>
      </c>
      <c r="P69" s="2" t="s">
        <v>1720</v>
      </c>
      <c r="Q69" s="2" t="s">
        <v>1549</v>
      </c>
    </row>
    <row r="70">
      <c r="A70" s="2"/>
      <c r="B70" s="2" t="s">
        <v>1721</v>
      </c>
      <c r="C70" s="2" t="s">
        <v>1722</v>
      </c>
      <c r="D70" s="2" t="s">
        <v>1723</v>
      </c>
      <c r="E70" s="2">
        <v>82.0</v>
      </c>
      <c r="F70" s="2" t="s">
        <v>1552</v>
      </c>
      <c r="G70" s="2">
        <v>88.0</v>
      </c>
      <c r="H70" s="2" t="s">
        <v>1553</v>
      </c>
      <c r="I70" s="2">
        <v>76.0</v>
      </c>
      <c r="J70" s="2" t="s">
        <v>1470</v>
      </c>
      <c r="K70" s="2">
        <v>68.0</v>
      </c>
      <c r="L70" s="2" t="s">
        <v>1554</v>
      </c>
      <c r="M70" s="12">
        <f>+40</f>
        <v>40</v>
      </c>
      <c r="N70" s="2">
        <v>-63.0</v>
      </c>
      <c r="O70" s="12">
        <f>+28</f>
        <v>28</v>
      </c>
      <c r="P70" s="2" t="s">
        <v>1724</v>
      </c>
      <c r="Q70" s="2" t="s">
        <v>1473</v>
      </c>
    </row>
    <row r="71">
      <c r="A71" s="2"/>
      <c r="B71" s="2" t="s">
        <v>1725</v>
      </c>
      <c r="C71" s="2" t="s">
        <v>1726</v>
      </c>
      <c r="D71" s="2" t="s">
        <v>1727</v>
      </c>
      <c r="E71" s="2">
        <v>74.0</v>
      </c>
      <c r="F71" s="2" t="s">
        <v>1449</v>
      </c>
      <c r="G71" s="2">
        <v>81.0</v>
      </c>
      <c r="H71" s="2">
        <v>650.0</v>
      </c>
      <c r="I71" s="2">
        <v>66.0</v>
      </c>
      <c r="J71" s="2" t="s">
        <v>1482</v>
      </c>
      <c r="K71" s="2">
        <v>59.0</v>
      </c>
      <c r="L71" s="2" t="s">
        <v>1543</v>
      </c>
      <c r="M71" s="12">
        <f>+34</f>
        <v>34</v>
      </c>
      <c r="N71" s="2">
        <v>-55.0</v>
      </c>
      <c r="O71" s="12">
        <f>+23</f>
        <v>23</v>
      </c>
      <c r="P71" s="2" t="s">
        <v>1728</v>
      </c>
      <c r="Q71" s="2" t="s">
        <v>1473</v>
      </c>
    </row>
    <row r="72">
      <c r="A72" s="2"/>
      <c r="B72" s="2" t="s">
        <v>1729</v>
      </c>
      <c r="C72" s="2" t="s">
        <v>1730</v>
      </c>
      <c r="D72" s="2" t="s">
        <v>1731</v>
      </c>
      <c r="E72" s="2">
        <v>76.0</v>
      </c>
      <c r="F72" s="2" t="s">
        <v>1470</v>
      </c>
      <c r="G72" s="2">
        <v>82.0</v>
      </c>
      <c r="H72" s="2">
        <v>700.0</v>
      </c>
      <c r="I72" s="2">
        <v>68.0</v>
      </c>
      <c r="J72" s="2" t="s">
        <v>1463</v>
      </c>
      <c r="K72" s="2">
        <v>61.0</v>
      </c>
      <c r="L72" s="2" t="s">
        <v>1558</v>
      </c>
      <c r="M72" s="12">
        <f>+36</f>
        <v>36</v>
      </c>
      <c r="N72" s="2">
        <v>-56.0</v>
      </c>
      <c r="O72" s="12">
        <f>+24</f>
        <v>24</v>
      </c>
      <c r="P72" s="2" t="s">
        <v>1732</v>
      </c>
      <c r="Q72" s="2" t="s">
        <v>1479</v>
      </c>
    </row>
    <row r="73">
      <c r="A73" s="2"/>
      <c r="B73" s="2" t="s">
        <v>1733</v>
      </c>
      <c r="C73" s="2" t="s">
        <v>1734</v>
      </c>
      <c r="D73" s="2" t="s">
        <v>1735</v>
      </c>
      <c r="E73" s="2">
        <v>69.0</v>
      </c>
      <c r="F73" s="2" t="s">
        <v>1476</v>
      </c>
      <c r="G73" s="2">
        <v>77.0</v>
      </c>
      <c r="H73" s="2">
        <v>480.0</v>
      </c>
      <c r="I73" s="2">
        <v>62.0</v>
      </c>
      <c r="J73" s="2" t="s">
        <v>1483</v>
      </c>
      <c r="K73" s="2">
        <v>55.0</v>
      </c>
      <c r="L73" s="2" t="s">
        <v>1573</v>
      </c>
      <c r="M73" s="12">
        <f>+33</f>
        <v>33</v>
      </c>
      <c r="N73" s="2">
        <v>-52.0</v>
      </c>
      <c r="O73" s="12">
        <f>+22</f>
        <v>22</v>
      </c>
      <c r="P73" s="2" t="s">
        <v>1736</v>
      </c>
      <c r="Q73" s="2" t="s">
        <v>1473</v>
      </c>
    </row>
    <row r="74">
      <c r="A74" s="2"/>
      <c r="B74" s="2" t="s">
        <v>1737</v>
      </c>
      <c r="C74" s="2" t="s">
        <v>1738</v>
      </c>
      <c r="D74" s="2" t="s">
        <v>1739</v>
      </c>
      <c r="E74" s="2">
        <v>65.0</v>
      </c>
      <c r="F74" s="2" t="s">
        <v>1483</v>
      </c>
      <c r="G74" s="2">
        <v>72.0</v>
      </c>
      <c r="H74" s="2">
        <v>420.0</v>
      </c>
      <c r="I74" s="2">
        <v>57.0</v>
      </c>
      <c r="J74" s="2" t="s">
        <v>1529</v>
      </c>
      <c r="K74" s="2">
        <v>52.0</v>
      </c>
      <c r="L74" s="2" t="s">
        <v>1585</v>
      </c>
      <c r="M74" s="12">
        <f>+30</f>
        <v>30</v>
      </c>
      <c r="N74" s="2">
        <v>-50.0</v>
      </c>
      <c r="O74" s="12">
        <f>+19</f>
        <v>19</v>
      </c>
      <c r="P74" s="2" t="s">
        <v>1740</v>
      </c>
      <c r="Q74" s="2" t="s">
        <v>1549</v>
      </c>
    </row>
    <row r="75">
      <c r="A75" s="2"/>
      <c r="B75" s="2" t="s">
        <v>1741</v>
      </c>
      <c r="C75" s="2" t="s">
        <v>1742</v>
      </c>
      <c r="D75" s="2" t="s">
        <v>1743</v>
      </c>
      <c r="E75" s="2">
        <v>70.0</v>
      </c>
      <c r="F75" s="2" t="s">
        <v>1463</v>
      </c>
      <c r="G75" s="2">
        <v>78.0</v>
      </c>
      <c r="H75" s="2">
        <v>560.0</v>
      </c>
      <c r="I75" s="2">
        <v>63.0</v>
      </c>
      <c r="J75" s="2" t="s">
        <v>1489</v>
      </c>
      <c r="K75" s="2">
        <v>57.0</v>
      </c>
      <c r="L75" s="2" t="s">
        <v>1543</v>
      </c>
      <c r="M75" s="12">
        <f>+33</f>
        <v>33</v>
      </c>
      <c r="N75" s="2">
        <v>-53.0</v>
      </c>
      <c r="O75" s="12">
        <f>+22</f>
        <v>22</v>
      </c>
      <c r="P75" s="2" t="s">
        <v>1744</v>
      </c>
      <c r="Q75" s="2" t="s">
        <v>1473</v>
      </c>
    </row>
    <row r="76">
      <c r="A76" s="2"/>
      <c r="B76" s="2" t="s">
        <v>1745</v>
      </c>
      <c r="C76" s="2" t="s">
        <v>1746</v>
      </c>
      <c r="D76" s="2" t="s">
        <v>1747</v>
      </c>
      <c r="E76" s="2">
        <v>79.0</v>
      </c>
      <c r="F76" s="2" t="s">
        <v>1520</v>
      </c>
      <c r="G76" s="2">
        <v>85.0</v>
      </c>
      <c r="H76" s="2">
        <v>940.0</v>
      </c>
      <c r="I76" s="2">
        <v>72.0</v>
      </c>
      <c r="J76" s="2" t="s">
        <v>1449</v>
      </c>
      <c r="K76" s="2">
        <v>65.0</v>
      </c>
      <c r="L76" s="2" t="s">
        <v>1539</v>
      </c>
      <c r="M76" s="12">
        <f>+37</f>
        <v>37</v>
      </c>
      <c r="N76" s="2">
        <v>-59.0</v>
      </c>
      <c r="O76" s="12">
        <f>+26</f>
        <v>26</v>
      </c>
      <c r="P76" s="2" t="s">
        <v>1748</v>
      </c>
      <c r="Q76" s="2" t="s">
        <v>1459</v>
      </c>
    </row>
    <row r="77">
      <c r="A77" s="2"/>
      <c r="B77" s="2" t="s">
        <v>599</v>
      </c>
      <c r="C77" s="2" t="s">
        <v>1749</v>
      </c>
      <c r="D77" s="2" t="s">
        <v>1750</v>
      </c>
      <c r="E77" s="2">
        <v>68.0</v>
      </c>
      <c r="F77" s="2" t="s">
        <v>1489</v>
      </c>
      <c r="G77" s="2">
        <v>75.0</v>
      </c>
      <c r="H77" s="2">
        <v>460.0</v>
      </c>
      <c r="I77" s="2">
        <v>61.0</v>
      </c>
      <c r="J77" s="2" t="s">
        <v>1483</v>
      </c>
      <c r="K77" s="2">
        <v>55.0</v>
      </c>
      <c r="L77" s="2" t="s">
        <v>1530</v>
      </c>
      <c r="M77" s="12">
        <f>+31</f>
        <v>31</v>
      </c>
      <c r="N77" s="2">
        <v>-51.0</v>
      </c>
      <c r="O77" s="12">
        <f>+21</f>
        <v>21</v>
      </c>
      <c r="P77" s="2" t="s">
        <v>1751</v>
      </c>
      <c r="Q77" s="2" t="s">
        <v>1479</v>
      </c>
    </row>
    <row r="78">
      <c r="A78" s="2"/>
      <c r="B78" s="2" t="s">
        <v>608</v>
      </c>
      <c r="C78" s="2" t="s">
        <v>1752</v>
      </c>
      <c r="D78" s="2" t="s">
        <v>1753</v>
      </c>
      <c r="E78" s="2">
        <v>80.0</v>
      </c>
      <c r="F78" s="2" t="s">
        <v>1455</v>
      </c>
      <c r="G78" s="2">
        <v>86.0</v>
      </c>
      <c r="H78" s="2">
        <v>940.0</v>
      </c>
      <c r="I78" s="2">
        <v>73.0</v>
      </c>
      <c r="J78" s="2" t="s">
        <v>1449</v>
      </c>
      <c r="K78" s="2">
        <v>66.0</v>
      </c>
      <c r="L78" s="2" t="s">
        <v>1610</v>
      </c>
      <c r="M78" s="12">
        <f>+39</f>
        <v>39</v>
      </c>
      <c r="N78" s="2">
        <v>-60.0</v>
      </c>
      <c r="O78" s="12">
        <f>+27</f>
        <v>27</v>
      </c>
      <c r="P78" s="2" t="s">
        <v>1754</v>
      </c>
      <c r="Q78" s="2" t="s">
        <v>1473</v>
      </c>
    </row>
    <row r="79">
      <c r="A79" s="2"/>
      <c r="B79" s="2" t="s">
        <v>617</v>
      </c>
      <c r="C79" s="2" t="s">
        <v>1755</v>
      </c>
      <c r="D79" s="2" t="s">
        <v>1756</v>
      </c>
      <c r="E79" s="2">
        <v>76.0</v>
      </c>
      <c r="F79" s="2" t="s">
        <v>1470</v>
      </c>
      <c r="G79" s="2">
        <v>82.0</v>
      </c>
      <c r="H79" s="2">
        <v>700.0</v>
      </c>
      <c r="I79" s="2">
        <v>68.0</v>
      </c>
      <c r="J79" s="2" t="s">
        <v>1463</v>
      </c>
      <c r="K79" s="2">
        <v>61.0</v>
      </c>
      <c r="L79" s="2" t="s">
        <v>1534</v>
      </c>
      <c r="M79" s="12">
        <f>+36</f>
        <v>36</v>
      </c>
      <c r="N79" s="2">
        <v>-56.0</v>
      </c>
      <c r="O79" s="12">
        <f>+24</f>
        <v>24</v>
      </c>
      <c r="P79" s="2" t="s">
        <v>1757</v>
      </c>
      <c r="Q79" s="2" t="s">
        <v>1512</v>
      </c>
    </row>
    <row r="80">
      <c r="A80" s="2"/>
      <c r="B80" s="2" t="s">
        <v>626</v>
      </c>
      <c r="C80" s="2" t="s">
        <v>1758</v>
      </c>
      <c r="D80" s="2" t="s">
        <v>1759</v>
      </c>
      <c r="E80" s="2">
        <v>73.0</v>
      </c>
      <c r="F80" s="2" t="s">
        <v>1449</v>
      </c>
      <c r="G80" s="2">
        <v>80.0</v>
      </c>
      <c r="H80" s="2">
        <v>640.0</v>
      </c>
      <c r="I80" s="2">
        <v>66.0</v>
      </c>
      <c r="J80" s="2" t="s">
        <v>1476</v>
      </c>
      <c r="K80" s="2">
        <v>59.0</v>
      </c>
      <c r="L80" s="2" t="s">
        <v>1558</v>
      </c>
      <c r="M80" s="12">
        <f>+35</f>
        <v>35</v>
      </c>
      <c r="N80" s="2">
        <v>-54.0</v>
      </c>
      <c r="O80" s="12">
        <f>+23</f>
        <v>23</v>
      </c>
      <c r="P80" s="2" t="s">
        <v>1760</v>
      </c>
      <c r="Q80" s="2" t="s">
        <v>1473</v>
      </c>
    </row>
    <row r="81">
      <c r="A81" s="2"/>
      <c r="B81" s="2" t="s">
        <v>635</v>
      </c>
      <c r="C81" s="2" t="s">
        <v>1761</v>
      </c>
      <c r="D81" s="2" t="s">
        <v>1762</v>
      </c>
      <c r="E81" s="2">
        <v>69.0</v>
      </c>
      <c r="F81" s="2" t="s">
        <v>1476</v>
      </c>
      <c r="G81" s="2">
        <v>77.0</v>
      </c>
      <c r="H81" s="2">
        <v>480.0</v>
      </c>
      <c r="I81" s="2">
        <v>62.0</v>
      </c>
      <c r="J81" s="2" t="s">
        <v>1483</v>
      </c>
      <c r="K81" s="2">
        <v>55.0</v>
      </c>
      <c r="L81" s="2" t="s">
        <v>1530</v>
      </c>
      <c r="M81" s="12">
        <f>+31</f>
        <v>31</v>
      </c>
      <c r="N81" s="2">
        <v>-51.0</v>
      </c>
      <c r="O81" s="12">
        <f>+21</f>
        <v>21</v>
      </c>
      <c r="P81" s="2" t="s">
        <v>1763</v>
      </c>
      <c r="Q81" s="2" t="s">
        <v>1512</v>
      </c>
    </row>
    <row r="82">
      <c r="A82" s="2"/>
      <c r="B82" s="2" t="s">
        <v>644</v>
      </c>
      <c r="C82" s="2" t="s">
        <v>1764</v>
      </c>
      <c r="D82" s="2" t="s">
        <v>1765</v>
      </c>
      <c r="E82" s="2">
        <v>72.0</v>
      </c>
      <c r="F82" s="2" t="s">
        <v>1463</v>
      </c>
      <c r="G82" s="2">
        <v>79.0</v>
      </c>
      <c r="H82" s="2">
        <v>560.0</v>
      </c>
      <c r="I82" s="2">
        <v>65.0</v>
      </c>
      <c r="J82" s="2" t="s">
        <v>1489</v>
      </c>
      <c r="K82" s="2">
        <v>58.0</v>
      </c>
      <c r="L82" s="2" t="s">
        <v>1543</v>
      </c>
      <c r="M82" s="12">
        <f>+33</f>
        <v>33</v>
      </c>
      <c r="N82" s="2">
        <v>-52.0</v>
      </c>
      <c r="O82" s="12">
        <f>+22</f>
        <v>22</v>
      </c>
      <c r="P82" s="2" t="s">
        <v>1766</v>
      </c>
      <c r="Q82" s="2" t="s">
        <v>1512</v>
      </c>
    </row>
    <row r="83">
      <c r="A83" s="2"/>
      <c r="B83" s="2" t="s">
        <v>1721</v>
      </c>
      <c r="C83" s="2" t="s">
        <v>1767</v>
      </c>
      <c r="D83" s="2" t="s">
        <v>1768</v>
      </c>
      <c r="E83" s="2">
        <v>83.0</v>
      </c>
      <c r="F83" s="2" t="s">
        <v>1469</v>
      </c>
      <c r="G83" s="2">
        <v>89.0</v>
      </c>
      <c r="H83" s="2" t="s">
        <v>1553</v>
      </c>
      <c r="I83" s="2">
        <v>76.0</v>
      </c>
      <c r="J83" s="2" t="s">
        <v>1470</v>
      </c>
      <c r="K83" s="2">
        <v>68.0</v>
      </c>
      <c r="L83" s="2" t="s">
        <v>1554</v>
      </c>
      <c r="M83" s="12">
        <f>+39</f>
        <v>39</v>
      </c>
      <c r="N83" s="2">
        <v>-63.0</v>
      </c>
      <c r="O83" s="12">
        <f>+28</f>
        <v>28</v>
      </c>
      <c r="P83" s="2" t="s">
        <v>1769</v>
      </c>
      <c r="Q83" s="2" t="s">
        <v>1473</v>
      </c>
    </row>
    <row r="84">
      <c r="A84" s="2"/>
      <c r="B84" s="2" t="s">
        <v>653</v>
      </c>
      <c r="C84" s="2" t="s">
        <v>1770</v>
      </c>
      <c r="D84" s="2" t="s">
        <v>1771</v>
      </c>
      <c r="E84" s="2">
        <v>78.0</v>
      </c>
      <c r="F84" s="2" t="s">
        <v>1462</v>
      </c>
      <c r="G84" s="2">
        <v>85.0</v>
      </c>
      <c r="H84" s="2">
        <v>900.0</v>
      </c>
      <c r="I84" s="2">
        <v>72.0</v>
      </c>
      <c r="J84" s="2" t="s">
        <v>1456</v>
      </c>
      <c r="K84" s="2">
        <v>64.0</v>
      </c>
      <c r="L84" s="2" t="s">
        <v>1610</v>
      </c>
      <c r="M84" s="12">
        <f>+36</f>
        <v>36</v>
      </c>
      <c r="N84" s="2">
        <v>-60.0</v>
      </c>
      <c r="O84" s="12">
        <f>+26</f>
        <v>26</v>
      </c>
      <c r="P84" s="2" t="s">
        <v>1772</v>
      </c>
      <c r="Q84" s="2" t="s">
        <v>1459</v>
      </c>
    </row>
    <row r="85">
      <c r="A85" s="2"/>
      <c r="B85" s="2" t="s">
        <v>1773</v>
      </c>
      <c r="C85" s="2" t="s">
        <v>1774</v>
      </c>
      <c r="D85" s="2" t="s">
        <v>1775</v>
      </c>
      <c r="E85" s="2">
        <v>74.0</v>
      </c>
      <c r="F85" s="2" t="s">
        <v>1495</v>
      </c>
      <c r="G85" s="2">
        <v>82.0</v>
      </c>
      <c r="H85" s="2">
        <v>700.0</v>
      </c>
      <c r="I85" s="2">
        <v>67.0</v>
      </c>
      <c r="J85" s="2" t="s">
        <v>1482</v>
      </c>
      <c r="K85" s="2">
        <v>60.0</v>
      </c>
      <c r="L85" s="2" t="s">
        <v>1562</v>
      </c>
      <c r="M85" s="12">
        <f>+32</f>
        <v>32</v>
      </c>
      <c r="N85" s="2">
        <v>-55.0</v>
      </c>
      <c r="O85" s="12">
        <f>+24</f>
        <v>24</v>
      </c>
      <c r="P85" s="2" t="s">
        <v>1776</v>
      </c>
      <c r="Q85" s="2" t="s">
        <v>1466</v>
      </c>
    </row>
    <row r="86">
      <c r="A86" s="2"/>
      <c r="B86" s="2" t="s">
        <v>1777</v>
      </c>
      <c r="C86" s="2" t="s">
        <v>1778</v>
      </c>
      <c r="D86" s="2" t="s">
        <v>1779</v>
      </c>
      <c r="E86" s="2">
        <v>69.0</v>
      </c>
      <c r="F86" s="2" t="s">
        <v>1489</v>
      </c>
      <c r="G86" s="2">
        <v>76.0</v>
      </c>
      <c r="H86" s="2">
        <v>480.0</v>
      </c>
      <c r="I86" s="2">
        <v>61.0</v>
      </c>
      <c r="J86" s="2" t="s">
        <v>1483</v>
      </c>
      <c r="K86" s="2">
        <v>55.0</v>
      </c>
      <c r="L86" s="2" t="s">
        <v>1543</v>
      </c>
      <c r="M86" s="12">
        <f>+30</f>
        <v>30</v>
      </c>
      <c r="N86" s="2">
        <v>-50.0</v>
      </c>
      <c r="O86" s="12">
        <f>+20</f>
        <v>20</v>
      </c>
      <c r="P86" s="2" t="s">
        <v>1780</v>
      </c>
      <c r="Q86" s="2" t="s">
        <v>1473</v>
      </c>
    </row>
    <row r="87">
      <c r="A87" s="2"/>
      <c r="B87" s="2" t="s">
        <v>671</v>
      </c>
      <c r="C87" s="2" t="s">
        <v>1781</v>
      </c>
      <c r="D87" s="2" t="s">
        <v>1782</v>
      </c>
      <c r="E87" s="2">
        <v>81.0</v>
      </c>
      <c r="F87" s="2" t="s">
        <v>1552</v>
      </c>
      <c r="G87" s="2">
        <v>87.0</v>
      </c>
      <c r="H87" s="2" t="s">
        <v>1577</v>
      </c>
      <c r="I87" s="2">
        <v>74.0</v>
      </c>
      <c r="J87" s="2" t="s">
        <v>1509</v>
      </c>
      <c r="K87" s="2">
        <v>67.0</v>
      </c>
      <c r="L87" s="2" t="s">
        <v>1554</v>
      </c>
      <c r="M87" s="12">
        <f>+38</f>
        <v>38</v>
      </c>
      <c r="N87" s="2">
        <v>-61.0</v>
      </c>
      <c r="O87" s="12">
        <f>+27</f>
        <v>27</v>
      </c>
      <c r="P87" s="2" t="s">
        <v>1783</v>
      </c>
      <c r="Q87" s="2" t="s">
        <v>1473</v>
      </c>
    </row>
    <row r="88">
      <c r="A88" s="2"/>
      <c r="B88" s="2" t="s">
        <v>680</v>
      </c>
      <c r="C88" s="2" t="s">
        <v>1784</v>
      </c>
      <c r="D88" s="2" t="s">
        <v>1785</v>
      </c>
      <c r="E88" s="2">
        <v>70.0</v>
      </c>
      <c r="F88" s="2" t="s">
        <v>1482</v>
      </c>
      <c r="G88" s="2">
        <v>78.0</v>
      </c>
      <c r="H88" s="2">
        <v>520.0</v>
      </c>
      <c r="I88" s="2">
        <v>62.0</v>
      </c>
      <c r="J88" s="2" t="s">
        <v>1483</v>
      </c>
      <c r="K88" s="2">
        <v>56.0</v>
      </c>
      <c r="L88" s="2" t="s">
        <v>1543</v>
      </c>
      <c r="M88" s="12">
        <f>+33</f>
        <v>33</v>
      </c>
      <c r="N88" s="2">
        <v>-52.0</v>
      </c>
      <c r="O88" s="12">
        <f>+21</f>
        <v>21</v>
      </c>
      <c r="P88" s="2" t="s">
        <v>1786</v>
      </c>
      <c r="Q88" s="2" t="s">
        <v>1459</v>
      </c>
    </row>
    <row r="89">
      <c r="A89" s="2"/>
      <c r="B89" s="2" t="s">
        <v>689</v>
      </c>
      <c r="C89" s="2" t="s">
        <v>1787</v>
      </c>
      <c r="D89" s="2" t="s">
        <v>1788</v>
      </c>
      <c r="E89" s="2">
        <v>75.0</v>
      </c>
      <c r="F89" s="2" t="s">
        <v>1470</v>
      </c>
      <c r="G89" s="2">
        <v>88.0</v>
      </c>
      <c r="H89" s="2">
        <v>750.0</v>
      </c>
      <c r="I89" s="2">
        <v>70.0</v>
      </c>
      <c r="J89" s="2" t="s">
        <v>1463</v>
      </c>
      <c r="K89" s="2">
        <v>62.0</v>
      </c>
      <c r="L89" s="2" t="s">
        <v>1578</v>
      </c>
      <c r="M89" s="12">
        <f>+38</f>
        <v>38</v>
      </c>
      <c r="N89" s="2">
        <v>-58.0</v>
      </c>
      <c r="O89" s="12">
        <f>+26</f>
        <v>26</v>
      </c>
      <c r="P89" s="2" t="s">
        <v>1789</v>
      </c>
      <c r="Q89" s="2" t="s">
        <v>1790</v>
      </c>
    </row>
    <row r="90">
      <c r="A90" s="2"/>
      <c r="B90" s="2" t="s">
        <v>698</v>
      </c>
      <c r="C90" s="2" t="s">
        <v>1791</v>
      </c>
      <c r="D90" s="2" t="s">
        <v>1792</v>
      </c>
      <c r="E90" s="2">
        <v>80.0</v>
      </c>
      <c r="F90" s="2" t="s">
        <v>1455</v>
      </c>
      <c r="G90" s="2">
        <v>86.0</v>
      </c>
      <c r="H90" s="2">
        <v>940.0</v>
      </c>
      <c r="I90" s="2">
        <v>73.0</v>
      </c>
      <c r="J90" s="2" t="s">
        <v>1449</v>
      </c>
      <c r="K90" s="2">
        <v>66.0</v>
      </c>
      <c r="L90" s="2" t="s">
        <v>1554</v>
      </c>
      <c r="M90" s="12">
        <f>+36</f>
        <v>36</v>
      </c>
      <c r="N90" s="2">
        <v>-60.0</v>
      </c>
      <c r="O90" s="12">
        <f t="shared" ref="O90:O91" si="3">+25</f>
        <v>25</v>
      </c>
      <c r="P90" s="2" t="s">
        <v>1793</v>
      </c>
      <c r="Q90" s="2" t="s">
        <v>1473</v>
      </c>
    </row>
    <row r="91">
      <c r="A91" s="2"/>
      <c r="B91" s="2" t="s">
        <v>707</v>
      </c>
      <c r="C91" s="2" t="s">
        <v>1794</v>
      </c>
      <c r="D91" s="2" t="s">
        <v>1795</v>
      </c>
      <c r="E91" s="2">
        <v>77.0</v>
      </c>
      <c r="F91" s="2" t="s">
        <v>1609</v>
      </c>
      <c r="G91" s="2">
        <v>83.0</v>
      </c>
      <c r="H91" s="2">
        <v>820.0</v>
      </c>
      <c r="I91" s="2">
        <v>70.0</v>
      </c>
      <c r="J91" s="2" t="s">
        <v>1495</v>
      </c>
      <c r="K91" s="2">
        <v>63.0</v>
      </c>
      <c r="L91" s="2" t="s">
        <v>1610</v>
      </c>
      <c r="M91" s="12">
        <f>+35</f>
        <v>35</v>
      </c>
      <c r="N91" s="2">
        <v>-57.0</v>
      </c>
      <c r="O91" s="12">
        <f t="shared" si="3"/>
        <v>25</v>
      </c>
      <c r="P91" s="2" t="s">
        <v>1796</v>
      </c>
      <c r="Q91" s="2" t="s">
        <v>1479</v>
      </c>
    </row>
    <row r="92">
      <c r="A92" s="2"/>
      <c r="B92" s="2" t="s">
        <v>716</v>
      </c>
      <c r="C92" s="2" t="s">
        <v>1797</v>
      </c>
      <c r="D92" s="2" t="s">
        <v>1798</v>
      </c>
      <c r="E92" s="2">
        <v>74.0</v>
      </c>
      <c r="F92" s="2" t="s">
        <v>1509</v>
      </c>
      <c r="G92" s="2">
        <v>81.0</v>
      </c>
      <c r="H92" s="2">
        <v>700.0</v>
      </c>
      <c r="I92" s="2">
        <v>68.0</v>
      </c>
      <c r="J92" s="2" t="s">
        <v>1482</v>
      </c>
      <c r="K92" s="2">
        <v>61.0</v>
      </c>
      <c r="L92" s="2" t="s">
        <v>1534</v>
      </c>
      <c r="M92" s="12">
        <f>+34</f>
        <v>34</v>
      </c>
      <c r="N92" s="2">
        <v>-55.0</v>
      </c>
      <c r="O92" s="12">
        <f>+24</f>
        <v>24</v>
      </c>
      <c r="P92" s="2" t="s">
        <v>1799</v>
      </c>
      <c r="Q92" s="2" t="s">
        <v>1473</v>
      </c>
    </row>
    <row r="93">
      <c r="A93" s="2"/>
      <c r="B93" s="2" t="s">
        <v>725</v>
      </c>
      <c r="C93" s="2" t="s">
        <v>1800</v>
      </c>
      <c r="D93" s="2" t="s">
        <v>1801</v>
      </c>
      <c r="E93" s="2">
        <v>79.0</v>
      </c>
      <c r="F93" s="2" t="s">
        <v>1538</v>
      </c>
      <c r="G93" s="2">
        <v>85.0</v>
      </c>
      <c r="H93" s="2">
        <v>900.0</v>
      </c>
      <c r="I93" s="2">
        <v>71.0</v>
      </c>
      <c r="J93" s="2" t="s">
        <v>1456</v>
      </c>
      <c r="K93" s="2">
        <v>64.0</v>
      </c>
      <c r="L93" s="2" t="s">
        <v>1539</v>
      </c>
      <c r="M93" s="12">
        <f>+36</f>
        <v>36</v>
      </c>
      <c r="N93" s="2">
        <v>-60.0</v>
      </c>
      <c r="O93" s="12">
        <f>+26</f>
        <v>26</v>
      </c>
      <c r="P93" s="2" t="s">
        <v>1802</v>
      </c>
      <c r="Q93" s="2" t="s">
        <v>1549</v>
      </c>
    </row>
    <row r="94">
      <c r="A94" s="2"/>
      <c r="B94" s="2" t="s">
        <v>733</v>
      </c>
      <c r="C94" s="2" t="s">
        <v>1803</v>
      </c>
      <c r="D94" s="2" t="s">
        <v>1804</v>
      </c>
      <c r="E94" s="2">
        <v>68.0</v>
      </c>
      <c r="F94" s="2" t="s">
        <v>1476</v>
      </c>
      <c r="G94" s="2">
        <v>75.0</v>
      </c>
      <c r="H94" s="2">
        <v>480.0</v>
      </c>
      <c r="I94" s="2">
        <v>61.0</v>
      </c>
      <c r="J94" s="2" t="s">
        <v>1483</v>
      </c>
      <c r="K94" s="2">
        <v>55.0</v>
      </c>
      <c r="L94" s="2" t="s">
        <v>1530</v>
      </c>
      <c r="M94" s="12">
        <f>+30</f>
        <v>30</v>
      </c>
      <c r="N94" s="2">
        <v>-50.0</v>
      </c>
      <c r="O94" s="12">
        <f>+21</f>
        <v>21</v>
      </c>
      <c r="P94" s="2" t="s">
        <v>1805</v>
      </c>
      <c r="Q94" s="2" t="s">
        <v>1459</v>
      </c>
    </row>
    <row r="95">
      <c r="A95" s="2"/>
      <c r="B95" s="2" t="s">
        <v>742</v>
      </c>
      <c r="C95" s="2" t="s">
        <v>1806</v>
      </c>
      <c r="D95" s="2" t="s">
        <v>1807</v>
      </c>
      <c r="E95" s="2">
        <v>83.0</v>
      </c>
      <c r="F95" s="2" t="s">
        <v>1469</v>
      </c>
      <c r="G95" s="2">
        <v>89.0</v>
      </c>
      <c r="H95" s="2">
        <v>1050.0</v>
      </c>
      <c r="I95" s="2">
        <v>76.0</v>
      </c>
      <c r="J95" s="2" t="s">
        <v>1470</v>
      </c>
      <c r="K95" s="2">
        <v>68.0</v>
      </c>
      <c r="L95" s="2" t="s">
        <v>1554</v>
      </c>
      <c r="M95" s="12">
        <f>+39</f>
        <v>39</v>
      </c>
      <c r="N95" s="2">
        <v>-63.0</v>
      </c>
      <c r="O95" s="12">
        <f>+28</f>
        <v>28</v>
      </c>
      <c r="P95" s="2" t="s">
        <v>1808</v>
      </c>
      <c r="Q95" s="2" t="s">
        <v>1459</v>
      </c>
    </row>
    <row r="96">
      <c r="A96" s="2"/>
      <c r="B96" s="2" t="s">
        <v>1809</v>
      </c>
      <c r="C96" s="2" t="s">
        <v>1810</v>
      </c>
      <c r="D96" s="2" t="s">
        <v>1811</v>
      </c>
      <c r="E96" s="2">
        <v>72.0</v>
      </c>
      <c r="F96" s="2" t="s">
        <v>1449</v>
      </c>
      <c r="G96" s="2">
        <v>79.0</v>
      </c>
      <c r="H96" s="2">
        <v>620.0</v>
      </c>
      <c r="I96" s="2">
        <v>65.0</v>
      </c>
      <c r="J96" s="2" t="s">
        <v>1476</v>
      </c>
      <c r="K96" s="2">
        <v>59.0</v>
      </c>
      <c r="L96" s="2" t="s">
        <v>1562</v>
      </c>
      <c r="M96" s="12">
        <f>+34</f>
        <v>34</v>
      </c>
      <c r="N96" s="2">
        <v>-55.0</v>
      </c>
      <c r="O96" s="12">
        <f>+23</f>
        <v>23</v>
      </c>
      <c r="P96" s="2" t="s">
        <v>1812</v>
      </c>
      <c r="Q96" s="2" t="s">
        <v>1459</v>
      </c>
    </row>
    <row r="97">
      <c r="A97" s="2"/>
      <c r="B97" s="2" t="s">
        <v>760</v>
      </c>
      <c r="C97" s="2" t="s">
        <v>1813</v>
      </c>
      <c r="D97" s="2" t="s">
        <v>1814</v>
      </c>
      <c r="E97" s="2">
        <v>82.0</v>
      </c>
      <c r="F97" s="2" t="s">
        <v>1469</v>
      </c>
      <c r="G97" s="2">
        <v>88.0</v>
      </c>
      <c r="H97" s="2" t="s">
        <v>1553</v>
      </c>
      <c r="I97" s="2">
        <v>76.0</v>
      </c>
      <c r="J97" s="2" t="s">
        <v>1509</v>
      </c>
      <c r="K97" s="2">
        <v>68.0</v>
      </c>
      <c r="L97" s="2" t="s">
        <v>1554</v>
      </c>
      <c r="M97" s="12">
        <f>+38</f>
        <v>38</v>
      </c>
      <c r="N97" s="2">
        <v>-62.0</v>
      </c>
      <c r="O97" s="12">
        <f>+27</f>
        <v>27</v>
      </c>
      <c r="P97" s="2" t="s">
        <v>1815</v>
      </c>
      <c r="Q97" s="2" t="s">
        <v>1816</v>
      </c>
    </row>
    <row r="98">
      <c r="A98" s="2"/>
      <c r="B98" s="2" t="s">
        <v>769</v>
      </c>
      <c r="C98" s="2" t="s">
        <v>1817</v>
      </c>
      <c r="D98" s="2" t="s">
        <v>1818</v>
      </c>
      <c r="E98" s="2">
        <v>66.0</v>
      </c>
      <c r="F98" s="2" t="s">
        <v>1483</v>
      </c>
      <c r="G98" s="2">
        <v>74.0</v>
      </c>
      <c r="H98" s="2">
        <v>420.0</v>
      </c>
      <c r="I98" s="2">
        <v>59.0</v>
      </c>
      <c r="J98" s="2" t="s">
        <v>1529</v>
      </c>
      <c r="K98" s="2">
        <v>53.0</v>
      </c>
      <c r="L98" s="2" t="s">
        <v>1585</v>
      </c>
      <c r="M98" s="12">
        <f>+30</f>
        <v>30</v>
      </c>
      <c r="N98" s="2">
        <v>-50.0</v>
      </c>
      <c r="O98" s="12">
        <f>+19</f>
        <v>19</v>
      </c>
      <c r="P98" s="2" t="s">
        <v>1819</v>
      </c>
      <c r="Q98" s="2" t="s">
        <v>1459</v>
      </c>
    </row>
    <row r="99">
      <c r="A99" s="2"/>
      <c r="B99" s="2" t="s">
        <v>778</v>
      </c>
      <c r="C99" s="2" t="s">
        <v>1820</v>
      </c>
      <c r="D99" s="2" t="s">
        <v>1533</v>
      </c>
      <c r="E99" s="2">
        <v>78.0</v>
      </c>
      <c r="F99" s="2" t="s">
        <v>1520</v>
      </c>
      <c r="G99" s="2">
        <v>85.0</v>
      </c>
      <c r="H99" s="2">
        <v>900.0</v>
      </c>
      <c r="I99" s="2">
        <v>72.0</v>
      </c>
      <c r="J99" s="2" t="s">
        <v>1449</v>
      </c>
      <c r="K99" s="2">
        <v>65.0</v>
      </c>
      <c r="L99" s="2" t="s">
        <v>1539</v>
      </c>
      <c r="M99" s="12">
        <f>+36</f>
        <v>36</v>
      </c>
      <c r="N99" s="2">
        <v>-58.0</v>
      </c>
      <c r="O99" s="12">
        <f>+26</f>
        <v>26</v>
      </c>
      <c r="P99" s="2" t="s">
        <v>1821</v>
      </c>
      <c r="Q99" s="2" t="s">
        <v>1459</v>
      </c>
    </row>
    <row r="100">
      <c r="A100" s="2"/>
      <c r="B100" s="2" t="s">
        <v>1191</v>
      </c>
      <c r="C100" s="2" t="s">
        <v>1822</v>
      </c>
      <c r="D100" s="2" t="s">
        <v>1823</v>
      </c>
      <c r="E100" s="2">
        <v>72.0</v>
      </c>
      <c r="F100" s="2" t="s">
        <v>1470</v>
      </c>
      <c r="G100" s="2">
        <v>80.0</v>
      </c>
      <c r="H100" s="2">
        <v>700.0</v>
      </c>
      <c r="I100" s="2">
        <v>68.0</v>
      </c>
      <c r="J100" s="2" t="s">
        <v>1463</v>
      </c>
      <c r="K100" s="2">
        <v>60.0</v>
      </c>
      <c r="L100" s="2" t="s">
        <v>1534</v>
      </c>
      <c r="M100" s="12">
        <f>+38</f>
        <v>38</v>
      </c>
      <c r="N100" s="2">
        <v>-55.0</v>
      </c>
      <c r="O100" s="12">
        <f>+25</f>
        <v>25</v>
      </c>
      <c r="P100" s="2" t="s">
        <v>1824</v>
      </c>
      <c r="Q100" s="2" t="s">
        <v>1459</v>
      </c>
    </row>
    <row r="101">
      <c r="A101" s="2"/>
      <c r="B101" s="2" t="s">
        <v>787</v>
      </c>
      <c r="C101" s="2" t="s">
        <v>1825</v>
      </c>
      <c r="D101" s="2" t="s">
        <v>1826</v>
      </c>
      <c r="E101" s="2">
        <v>74.0</v>
      </c>
      <c r="F101" s="2" t="s">
        <v>1449</v>
      </c>
      <c r="G101" s="2">
        <v>81.0</v>
      </c>
      <c r="H101" s="2">
        <v>700.0</v>
      </c>
      <c r="I101" s="2">
        <v>66.0</v>
      </c>
      <c r="J101" s="2" t="s">
        <v>1482</v>
      </c>
      <c r="K101" s="2">
        <v>59.0</v>
      </c>
      <c r="L101" s="2" t="s">
        <v>1558</v>
      </c>
      <c r="M101" s="12">
        <f>+35</f>
        <v>35</v>
      </c>
      <c r="N101" s="2">
        <v>-56.0</v>
      </c>
      <c r="O101" s="12">
        <f>+24</f>
        <v>24</v>
      </c>
      <c r="P101" s="2" t="s">
        <v>1827</v>
      </c>
      <c r="Q101" s="2" t="s">
        <v>1459</v>
      </c>
    </row>
    <row r="102">
      <c r="A102" s="2"/>
      <c r="B102" s="2" t="s">
        <v>796</v>
      </c>
      <c r="C102" s="2" t="s">
        <v>1828</v>
      </c>
      <c r="D102" s="2" t="s">
        <v>1829</v>
      </c>
      <c r="E102" s="2">
        <v>68.0</v>
      </c>
      <c r="F102" s="2" t="s">
        <v>1489</v>
      </c>
      <c r="G102" s="2">
        <v>77.0</v>
      </c>
      <c r="H102" s="2">
        <v>500.0</v>
      </c>
      <c r="I102" s="2">
        <v>60.0</v>
      </c>
      <c r="J102" s="2" t="s">
        <v>1529</v>
      </c>
      <c r="K102" s="2">
        <v>55.0</v>
      </c>
      <c r="L102" s="2" t="s">
        <v>1530</v>
      </c>
      <c r="M102" s="12">
        <f>+32</f>
        <v>32</v>
      </c>
      <c r="N102" s="2">
        <v>-50.0</v>
      </c>
      <c r="O102" s="12">
        <f>+20</f>
        <v>20</v>
      </c>
      <c r="P102" s="2" t="s">
        <v>1830</v>
      </c>
      <c r="Q102" s="2" t="s">
        <v>1473</v>
      </c>
    </row>
    <row r="103">
      <c r="A103" s="2"/>
      <c r="B103" s="2" t="s">
        <v>805</v>
      </c>
      <c r="C103" s="2" t="s">
        <v>1831</v>
      </c>
      <c r="D103" s="2" t="s">
        <v>1832</v>
      </c>
      <c r="E103" s="2">
        <v>71.0</v>
      </c>
      <c r="F103" s="2" t="s">
        <v>1495</v>
      </c>
      <c r="G103" s="2">
        <v>79.0</v>
      </c>
      <c r="H103" s="2">
        <v>600.0</v>
      </c>
      <c r="I103" s="2">
        <v>64.0</v>
      </c>
      <c r="J103" s="2" t="s">
        <v>1489</v>
      </c>
      <c r="K103" s="2">
        <v>57.0</v>
      </c>
      <c r="L103" s="2" t="s">
        <v>1543</v>
      </c>
      <c r="M103" s="12">
        <f>+34</f>
        <v>34</v>
      </c>
      <c r="N103" s="2">
        <v>-54.0</v>
      </c>
      <c r="O103" s="12">
        <f>+22</f>
        <v>22</v>
      </c>
      <c r="P103" s="2" t="s">
        <v>1833</v>
      </c>
      <c r="Q103" s="2" t="s">
        <v>1466</v>
      </c>
    </row>
    <row r="104">
      <c r="A104" s="2"/>
      <c r="B104" s="2" t="s">
        <v>814</v>
      </c>
      <c r="C104" s="2" t="s">
        <v>1834</v>
      </c>
      <c r="D104" s="2" t="s">
        <v>1835</v>
      </c>
      <c r="E104" s="2">
        <v>77.0</v>
      </c>
      <c r="F104" s="2" t="s">
        <v>1609</v>
      </c>
      <c r="G104" s="2">
        <v>84.0</v>
      </c>
      <c r="H104" s="2">
        <v>800.0</v>
      </c>
      <c r="I104" s="2">
        <v>70.0</v>
      </c>
      <c r="J104" s="2" t="s">
        <v>1495</v>
      </c>
      <c r="K104" s="2">
        <v>63.0</v>
      </c>
      <c r="L104" s="2" t="s">
        <v>1534</v>
      </c>
      <c r="M104" s="12">
        <f>+36</f>
        <v>36</v>
      </c>
      <c r="N104" s="2">
        <v>-57.0</v>
      </c>
      <c r="O104" s="12">
        <f>+25</f>
        <v>25</v>
      </c>
      <c r="P104" s="2" t="s">
        <v>1836</v>
      </c>
      <c r="Q104" s="2" t="s">
        <v>1459</v>
      </c>
    </row>
    <row r="105">
      <c r="A105" s="2"/>
      <c r="B105" s="2" t="s">
        <v>823</v>
      </c>
      <c r="C105" s="2" t="s">
        <v>1837</v>
      </c>
      <c r="D105" s="2" t="s">
        <v>1838</v>
      </c>
      <c r="E105" s="2">
        <v>72.0</v>
      </c>
      <c r="F105" s="2" t="s">
        <v>1463</v>
      </c>
      <c r="G105" s="2">
        <v>80.0</v>
      </c>
      <c r="H105" s="2">
        <v>620.0</v>
      </c>
      <c r="I105" s="2">
        <v>65.0</v>
      </c>
      <c r="J105" s="2" t="s">
        <v>1476</v>
      </c>
      <c r="K105" s="2">
        <v>58.0</v>
      </c>
      <c r="L105" s="2" t="s">
        <v>1558</v>
      </c>
      <c r="M105" s="12">
        <f>+35</f>
        <v>35</v>
      </c>
      <c r="N105" s="2">
        <v>-53.0</v>
      </c>
      <c r="O105" s="12">
        <f>+23</f>
        <v>23</v>
      </c>
      <c r="P105" s="2" t="s">
        <v>1839</v>
      </c>
      <c r="Q105" s="2" t="s">
        <v>1473</v>
      </c>
    </row>
    <row r="106">
      <c r="A106" s="2"/>
      <c r="B106" s="2" t="s">
        <v>832</v>
      </c>
      <c r="C106" s="2" t="s">
        <v>1840</v>
      </c>
      <c r="D106" s="2" t="s">
        <v>1841</v>
      </c>
      <c r="E106" s="2">
        <v>76.0</v>
      </c>
      <c r="F106" s="2" t="s">
        <v>1462</v>
      </c>
      <c r="G106" s="2">
        <v>83.0</v>
      </c>
      <c r="H106" s="2">
        <v>820.0</v>
      </c>
      <c r="I106" s="2">
        <v>69.0</v>
      </c>
      <c r="J106" s="2" t="s">
        <v>1463</v>
      </c>
      <c r="K106" s="2">
        <v>61.0</v>
      </c>
      <c r="L106" s="2" t="s">
        <v>1562</v>
      </c>
      <c r="M106" s="12">
        <f>+34</f>
        <v>34</v>
      </c>
      <c r="N106" s="2">
        <v>-56.0</v>
      </c>
      <c r="O106" s="12">
        <f>+24</f>
        <v>24</v>
      </c>
      <c r="P106" s="2" t="s">
        <v>1842</v>
      </c>
      <c r="Q106" s="2" t="s">
        <v>1473</v>
      </c>
    </row>
    <row r="107">
      <c r="A107" s="2"/>
      <c r="B107" s="2" t="s">
        <v>840</v>
      </c>
      <c r="C107" s="2" t="s">
        <v>1843</v>
      </c>
      <c r="D107" s="2" t="s">
        <v>1844</v>
      </c>
      <c r="E107" s="2">
        <v>64.0</v>
      </c>
      <c r="F107" s="2" t="s">
        <v>1483</v>
      </c>
      <c r="G107" s="2">
        <v>73.0</v>
      </c>
      <c r="H107" s="2">
        <v>420.0</v>
      </c>
      <c r="I107" s="2">
        <v>58.0</v>
      </c>
      <c r="J107" s="2" t="s">
        <v>1529</v>
      </c>
      <c r="K107" s="2">
        <v>52.0</v>
      </c>
      <c r="L107" s="2" t="s">
        <v>1547</v>
      </c>
      <c r="M107" s="12">
        <f>+28</f>
        <v>28</v>
      </c>
      <c r="N107" s="2">
        <v>-49.0</v>
      </c>
      <c r="O107" s="12">
        <f>+18</f>
        <v>18</v>
      </c>
      <c r="P107" s="2" t="s">
        <v>1845</v>
      </c>
      <c r="Q107" s="2" t="s">
        <v>1549</v>
      </c>
    </row>
    <row r="108">
      <c r="A108" s="2"/>
      <c r="B108" s="2" t="s">
        <v>849</v>
      </c>
      <c r="C108" s="2" t="s">
        <v>1846</v>
      </c>
      <c r="D108" s="2" t="s">
        <v>1847</v>
      </c>
      <c r="E108" s="2">
        <v>78.0</v>
      </c>
      <c r="F108" s="2" t="s">
        <v>1538</v>
      </c>
      <c r="G108" s="2">
        <v>85.0</v>
      </c>
      <c r="H108" s="2">
        <v>900.0</v>
      </c>
      <c r="I108" s="2">
        <v>71.0</v>
      </c>
      <c r="J108" s="2" t="s">
        <v>1456</v>
      </c>
      <c r="K108" s="2">
        <v>64.0</v>
      </c>
      <c r="L108" s="2" t="s">
        <v>1610</v>
      </c>
      <c r="M108" s="12">
        <f>+35</f>
        <v>35</v>
      </c>
      <c r="N108" s="2">
        <v>-59.0</v>
      </c>
      <c r="O108" s="12">
        <f t="shared" ref="O108:O109" si="4">+26</f>
        <v>26</v>
      </c>
      <c r="P108" s="2" t="s">
        <v>1848</v>
      </c>
      <c r="Q108" s="2" t="s">
        <v>1459</v>
      </c>
    </row>
    <row r="109">
      <c r="A109" s="2"/>
      <c r="B109" s="2" t="s">
        <v>858</v>
      </c>
      <c r="C109" s="2" t="s">
        <v>1849</v>
      </c>
      <c r="D109" s="2" t="s">
        <v>1850</v>
      </c>
      <c r="E109" s="2">
        <v>79.0</v>
      </c>
      <c r="F109" s="2" t="s">
        <v>1515</v>
      </c>
      <c r="G109" s="2">
        <v>85.0</v>
      </c>
      <c r="H109" s="2">
        <v>900.0</v>
      </c>
      <c r="I109" s="2">
        <v>72.0</v>
      </c>
      <c r="J109" s="2" t="s">
        <v>1456</v>
      </c>
      <c r="K109" s="2">
        <v>64.0</v>
      </c>
      <c r="L109" s="2" t="s">
        <v>1610</v>
      </c>
      <c r="M109" s="12">
        <f>+36</f>
        <v>36</v>
      </c>
      <c r="N109" s="2">
        <v>-59.0</v>
      </c>
      <c r="O109" s="12">
        <f t="shared" si="4"/>
        <v>26</v>
      </c>
      <c r="P109" s="2" t="s">
        <v>1851</v>
      </c>
      <c r="Q109" s="2" t="s">
        <v>1459</v>
      </c>
    </row>
    <row r="110">
      <c r="A110" s="2"/>
      <c r="B110" s="2" t="s">
        <v>866</v>
      </c>
      <c r="C110" s="2" t="s">
        <v>1852</v>
      </c>
      <c r="D110" s="2" t="s">
        <v>1853</v>
      </c>
      <c r="E110" s="2">
        <v>71.0</v>
      </c>
      <c r="F110" s="2" t="s">
        <v>1495</v>
      </c>
      <c r="G110" s="2">
        <v>79.0</v>
      </c>
      <c r="H110" s="2">
        <v>640.0</v>
      </c>
      <c r="I110" s="2">
        <v>65.0</v>
      </c>
      <c r="J110" s="2" t="s">
        <v>1476</v>
      </c>
      <c r="K110" s="2">
        <v>58.0</v>
      </c>
      <c r="L110" s="2" t="s">
        <v>1558</v>
      </c>
      <c r="M110" s="12">
        <f>+34</f>
        <v>34</v>
      </c>
      <c r="N110" s="2">
        <v>-54.0</v>
      </c>
      <c r="O110" s="12">
        <f>+23</f>
        <v>23</v>
      </c>
      <c r="P110" s="2" t="s">
        <v>1854</v>
      </c>
      <c r="Q110" s="2" t="s">
        <v>1473</v>
      </c>
    </row>
    <row r="111">
      <c r="A111" s="2"/>
      <c r="B111" s="2" t="s">
        <v>884</v>
      </c>
      <c r="C111" s="2" t="s">
        <v>1855</v>
      </c>
      <c r="D111" s="2" t="s">
        <v>1856</v>
      </c>
      <c r="E111" s="2">
        <v>74.0</v>
      </c>
      <c r="F111" s="2" t="s">
        <v>1509</v>
      </c>
      <c r="G111" s="2">
        <v>82.0</v>
      </c>
      <c r="H111" s="2">
        <v>720.0</v>
      </c>
      <c r="I111" s="2">
        <v>68.0</v>
      </c>
      <c r="J111" s="2" t="s">
        <v>1463</v>
      </c>
      <c r="K111" s="2">
        <v>61.0</v>
      </c>
      <c r="L111" s="2" t="s">
        <v>1534</v>
      </c>
      <c r="M111" s="12">
        <f>+35</f>
        <v>35</v>
      </c>
      <c r="N111" s="2">
        <v>-56.0</v>
      </c>
      <c r="O111" s="12">
        <f>+25</f>
        <v>25</v>
      </c>
      <c r="P111" s="2" t="s">
        <v>1857</v>
      </c>
      <c r="Q111" s="2" t="s">
        <v>1479</v>
      </c>
    </row>
    <row r="112">
      <c r="A112" s="2"/>
      <c r="B112" s="2" t="s">
        <v>875</v>
      </c>
      <c r="C112" s="2" t="s">
        <v>1858</v>
      </c>
      <c r="D112" s="2" t="s">
        <v>1859</v>
      </c>
      <c r="E112" s="2">
        <v>70.0</v>
      </c>
      <c r="F112" s="2" t="s">
        <v>1463</v>
      </c>
      <c r="G112" s="2">
        <v>78.0</v>
      </c>
      <c r="H112" s="2">
        <v>600.0</v>
      </c>
      <c r="I112" s="2">
        <v>63.0</v>
      </c>
      <c r="J112" s="2" t="s">
        <v>1489</v>
      </c>
      <c r="K112" s="2">
        <v>56.0</v>
      </c>
      <c r="L112" s="2" t="s">
        <v>1543</v>
      </c>
      <c r="M112" s="12">
        <f>+33</f>
        <v>33</v>
      </c>
      <c r="N112" s="2">
        <v>-52.0</v>
      </c>
      <c r="O112" s="12">
        <f>+22</f>
        <v>22</v>
      </c>
      <c r="P112" s="2" t="s">
        <v>1860</v>
      </c>
      <c r="Q112" s="2" t="s">
        <v>1473</v>
      </c>
    </row>
    <row r="113">
      <c r="A113" s="2"/>
      <c r="B113" s="2" t="s">
        <v>902</v>
      </c>
      <c r="C113" s="2" t="s">
        <v>1861</v>
      </c>
      <c r="D113" s="2" t="s">
        <v>1862</v>
      </c>
      <c r="E113" s="2">
        <v>73.0</v>
      </c>
      <c r="F113" s="2" t="s">
        <v>1449</v>
      </c>
      <c r="G113" s="2">
        <v>80.0</v>
      </c>
      <c r="H113" s="2">
        <v>680.0</v>
      </c>
      <c r="I113" s="2">
        <v>66.0</v>
      </c>
      <c r="J113" s="2" t="s">
        <v>1476</v>
      </c>
      <c r="K113" s="2">
        <v>59.0</v>
      </c>
      <c r="L113" s="2" t="s">
        <v>1558</v>
      </c>
      <c r="M113" s="12">
        <f>+34</f>
        <v>34</v>
      </c>
      <c r="N113" s="2">
        <v>-55.0</v>
      </c>
      <c r="O113" s="12">
        <f>+24</f>
        <v>24</v>
      </c>
      <c r="P113" s="2" t="s">
        <v>1863</v>
      </c>
      <c r="Q113" s="2" t="s">
        <v>1479</v>
      </c>
    </row>
    <row r="114">
      <c r="A114" s="2"/>
      <c r="B114" s="2" t="s">
        <v>910</v>
      </c>
      <c r="C114" s="2" t="s">
        <v>1864</v>
      </c>
      <c r="D114" s="2" t="s">
        <v>1865</v>
      </c>
      <c r="E114" s="2">
        <v>82.0</v>
      </c>
      <c r="F114" s="2" t="s">
        <v>1552</v>
      </c>
      <c r="G114" s="2">
        <v>88.0</v>
      </c>
      <c r="H114" s="2">
        <v>1000.0</v>
      </c>
      <c r="I114" s="2">
        <v>75.0</v>
      </c>
      <c r="J114" s="2" t="s">
        <v>1509</v>
      </c>
      <c r="K114" s="2">
        <v>68.0</v>
      </c>
      <c r="L114" s="2" t="s">
        <v>1539</v>
      </c>
      <c r="M114" s="12">
        <f>+38</f>
        <v>38</v>
      </c>
      <c r="N114" s="2">
        <v>-61.0</v>
      </c>
      <c r="O114" s="12">
        <f>+27</f>
        <v>27</v>
      </c>
      <c r="P114" s="2" t="s">
        <v>1866</v>
      </c>
      <c r="Q114" s="2" t="s">
        <v>1473</v>
      </c>
    </row>
    <row r="115">
      <c r="A115" s="2"/>
      <c r="B115" s="2" t="s">
        <v>919</v>
      </c>
      <c r="C115" s="2" t="s">
        <v>1867</v>
      </c>
      <c r="D115" s="2" t="s">
        <v>1868</v>
      </c>
      <c r="E115" s="2">
        <v>77.0</v>
      </c>
      <c r="F115" s="2" t="s">
        <v>1515</v>
      </c>
      <c r="G115" s="2">
        <v>84.0</v>
      </c>
      <c r="H115" s="2">
        <v>850.0</v>
      </c>
      <c r="I115" s="2">
        <v>70.0</v>
      </c>
      <c r="J115" s="2" t="s">
        <v>1495</v>
      </c>
      <c r="K115" s="2">
        <v>63.0</v>
      </c>
      <c r="L115" s="2" t="s">
        <v>1534</v>
      </c>
      <c r="M115" s="12">
        <f>+36</f>
        <v>36</v>
      </c>
      <c r="N115" s="2">
        <v>-57.0</v>
      </c>
      <c r="O115" s="12">
        <f>+25</f>
        <v>25</v>
      </c>
      <c r="P115" s="2" t="s">
        <v>1869</v>
      </c>
      <c r="Q115" s="2" t="s">
        <v>1459</v>
      </c>
    </row>
    <row r="116">
      <c r="A116" s="2"/>
      <c r="B116" s="2" t="s">
        <v>937</v>
      </c>
      <c r="C116" s="2" t="s">
        <v>1870</v>
      </c>
      <c r="D116" s="2" t="s">
        <v>1871</v>
      </c>
      <c r="E116" s="2">
        <v>70.0</v>
      </c>
      <c r="F116" s="2" t="s">
        <v>1482</v>
      </c>
      <c r="G116" s="2">
        <v>77.0</v>
      </c>
      <c r="H116" s="2">
        <v>520.0</v>
      </c>
      <c r="I116" s="2">
        <v>62.0</v>
      </c>
      <c r="J116" s="2" t="s">
        <v>1483</v>
      </c>
      <c r="K116" s="2">
        <v>56.0</v>
      </c>
      <c r="L116" s="2" t="s">
        <v>1543</v>
      </c>
      <c r="M116" s="12">
        <f>+33</f>
        <v>33</v>
      </c>
      <c r="N116" s="2">
        <v>-51.0</v>
      </c>
      <c r="O116" s="12">
        <f>+22</f>
        <v>22</v>
      </c>
      <c r="P116" s="2" t="s">
        <v>1872</v>
      </c>
      <c r="Q116" s="2" t="s">
        <v>1512</v>
      </c>
    </row>
    <row r="117">
      <c r="A117" s="2"/>
      <c r="B117" s="2" t="s">
        <v>928</v>
      </c>
      <c r="C117" s="2" t="s">
        <v>1873</v>
      </c>
      <c r="D117" s="2" t="s">
        <v>1874</v>
      </c>
      <c r="E117" s="2">
        <v>71.0</v>
      </c>
      <c r="F117" s="2" t="s">
        <v>1495</v>
      </c>
      <c r="G117" s="2">
        <v>79.0</v>
      </c>
      <c r="H117" s="2">
        <v>640.0</v>
      </c>
      <c r="I117" s="2">
        <v>65.0</v>
      </c>
      <c r="J117" s="2" t="s">
        <v>1476</v>
      </c>
      <c r="K117" s="2">
        <v>58.0</v>
      </c>
      <c r="L117" s="2" t="s">
        <v>1558</v>
      </c>
      <c r="M117" s="12">
        <f>+35</f>
        <v>35</v>
      </c>
      <c r="N117" s="2">
        <v>-53.0</v>
      </c>
      <c r="O117" s="12">
        <f>+23</f>
        <v>23</v>
      </c>
      <c r="P117" s="2" t="s">
        <v>1875</v>
      </c>
      <c r="Q117" s="2" t="s">
        <v>1473</v>
      </c>
    </row>
    <row r="118">
      <c r="A118" s="2"/>
      <c r="B118" s="2" t="s">
        <v>946</v>
      </c>
      <c r="C118" s="2" t="s">
        <v>1876</v>
      </c>
      <c r="D118" s="2" t="s">
        <v>1877</v>
      </c>
      <c r="E118" s="2">
        <v>79.0</v>
      </c>
      <c r="F118" s="2" t="s">
        <v>1520</v>
      </c>
      <c r="G118" s="2">
        <v>85.0</v>
      </c>
      <c r="H118" s="2">
        <v>920.0</v>
      </c>
      <c r="I118" s="2">
        <v>72.0</v>
      </c>
      <c r="J118" s="2" t="s">
        <v>1449</v>
      </c>
      <c r="K118" s="2">
        <v>65.0</v>
      </c>
      <c r="L118" s="2" t="s">
        <v>1539</v>
      </c>
      <c r="M118" s="12">
        <f>+40</f>
        <v>40</v>
      </c>
      <c r="N118" s="2">
        <v>-60.0</v>
      </c>
      <c r="O118" s="12">
        <f>+27</f>
        <v>27</v>
      </c>
      <c r="P118" s="2" t="s">
        <v>1878</v>
      </c>
      <c r="Q118" s="2" t="s">
        <v>1459</v>
      </c>
    </row>
    <row r="119">
      <c r="A119" s="2"/>
      <c r="B119" s="2" t="s">
        <v>955</v>
      </c>
      <c r="C119" s="2" t="s">
        <v>1879</v>
      </c>
      <c r="D119" s="2" t="s">
        <v>1880</v>
      </c>
      <c r="E119" s="2">
        <v>68.0</v>
      </c>
      <c r="F119" s="2" t="s">
        <v>1476</v>
      </c>
      <c r="G119" s="2">
        <v>76.0</v>
      </c>
      <c r="H119" s="2">
        <v>480.0</v>
      </c>
      <c r="I119" s="2">
        <v>60.0</v>
      </c>
      <c r="J119" s="2" t="s">
        <v>1483</v>
      </c>
      <c r="K119" s="2">
        <v>55.0</v>
      </c>
      <c r="L119" s="2" t="s">
        <v>1530</v>
      </c>
      <c r="M119" s="12">
        <f>+32</f>
        <v>32</v>
      </c>
      <c r="N119" s="2">
        <v>-51.0</v>
      </c>
      <c r="O119" s="12">
        <f>+21</f>
        <v>21</v>
      </c>
      <c r="P119" s="2" t="s">
        <v>1881</v>
      </c>
      <c r="Q119" s="2" t="s">
        <v>1473</v>
      </c>
    </row>
    <row r="120">
      <c r="A120" s="2"/>
      <c r="B120" s="2" t="s">
        <v>964</v>
      </c>
      <c r="C120" s="2" t="s">
        <v>1882</v>
      </c>
      <c r="D120" s="2" t="s">
        <v>1883</v>
      </c>
      <c r="E120" s="2">
        <v>72.0</v>
      </c>
      <c r="F120" s="2" t="s">
        <v>1463</v>
      </c>
      <c r="G120" s="2">
        <v>80.0</v>
      </c>
      <c r="H120" s="2">
        <v>620.0</v>
      </c>
      <c r="I120" s="2">
        <v>65.0</v>
      </c>
      <c r="J120" s="2" t="s">
        <v>1476</v>
      </c>
      <c r="K120" s="2">
        <v>58.0</v>
      </c>
      <c r="L120" s="2" t="s">
        <v>1558</v>
      </c>
      <c r="M120" s="12">
        <f>+34</f>
        <v>34</v>
      </c>
      <c r="N120" s="2">
        <v>-53.0</v>
      </c>
      <c r="O120" s="12">
        <f>+23</f>
        <v>23</v>
      </c>
      <c r="P120" s="2" t="s">
        <v>1884</v>
      </c>
      <c r="Q120" s="2" t="s">
        <v>1479</v>
      </c>
    </row>
    <row r="121">
      <c r="A121" s="2"/>
      <c r="B121" s="2" t="s">
        <v>973</v>
      </c>
      <c r="C121" s="2" t="s">
        <v>1885</v>
      </c>
      <c r="D121" s="2" t="s">
        <v>1886</v>
      </c>
      <c r="E121" s="2">
        <v>64.0</v>
      </c>
      <c r="F121" s="2" t="s">
        <v>1483</v>
      </c>
      <c r="G121" s="2">
        <v>73.0</v>
      </c>
      <c r="H121" s="2">
        <v>420.0</v>
      </c>
      <c r="I121" s="2">
        <v>58.0</v>
      </c>
      <c r="J121" s="2" t="s">
        <v>1529</v>
      </c>
      <c r="K121" s="2">
        <v>52.0</v>
      </c>
      <c r="L121" s="2" t="s">
        <v>1547</v>
      </c>
      <c r="M121" s="12">
        <f>+28</f>
        <v>28</v>
      </c>
      <c r="N121" s="2">
        <v>-49.0</v>
      </c>
      <c r="O121" s="12">
        <f>+18</f>
        <v>18</v>
      </c>
      <c r="P121" s="2" t="s">
        <v>1887</v>
      </c>
      <c r="Q121" s="2" t="s">
        <v>1888</v>
      </c>
    </row>
    <row r="122">
      <c r="A122" s="2"/>
      <c r="B122" s="2" t="s">
        <v>982</v>
      </c>
      <c r="C122" s="2" t="s">
        <v>1889</v>
      </c>
      <c r="D122" s="2" t="s">
        <v>1890</v>
      </c>
      <c r="E122" s="2">
        <v>67.0</v>
      </c>
      <c r="F122" s="2" t="s">
        <v>1489</v>
      </c>
      <c r="G122" s="2">
        <v>75.0</v>
      </c>
      <c r="H122" s="2">
        <v>460.0</v>
      </c>
      <c r="I122" s="2">
        <v>60.0</v>
      </c>
      <c r="J122" s="2" t="s">
        <v>1483</v>
      </c>
      <c r="K122" s="2">
        <v>54.0</v>
      </c>
      <c r="L122" s="2" t="s">
        <v>1585</v>
      </c>
      <c r="M122" s="12">
        <f>+30</f>
        <v>30</v>
      </c>
      <c r="N122" s="2">
        <v>-51.0</v>
      </c>
      <c r="O122" s="12">
        <f>+19</f>
        <v>19</v>
      </c>
      <c r="P122" s="2" t="s">
        <v>1891</v>
      </c>
      <c r="Q122" s="2" t="s">
        <v>1892</v>
      </c>
    </row>
    <row r="123">
      <c r="A123" s="2"/>
      <c r="B123" s="2" t="s">
        <v>991</v>
      </c>
      <c r="C123" s="2" t="s">
        <v>1893</v>
      </c>
      <c r="D123" s="2" t="s">
        <v>1894</v>
      </c>
      <c r="E123" s="2">
        <v>77.0</v>
      </c>
      <c r="F123" s="2" t="s">
        <v>1609</v>
      </c>
      <c r="G123" s="2">
        <v>83.0</v>
      </c>
      <c r="H123" s="2">
        <v>820.0</v>
      </c>
      <c r="I123" s="2">
        <v>70.0</v>
      </c>
      <c r="J123" s="2" t="s">
        <v>1495</v>
      </c>
      <c r="K123" s="2">
        <v>63.0</v>
      </c>
      <c r="L123" s="2" t="s">
        <v>1610</v>
      </c>
      <c r="M123" s="12">
        <f>+35</f>
        <v>35</v>
      </c>
      <c r="N123" s="2">
        <v>-57.0</v>
      </c>
      <c r="O123" s="12">
        <f>+25</f>
        <v>25</v>
      </c>
      <c r="P123" s="2" t="s">
        <v>1895</v>
      </c>
      <c r="Q123" s="2" t="s">
        <v>1459</v>
      </c>
    </row>
    <row r="124">
      <c r="A124" s="2"/>
      <c r="B124" s="2" t="s">
        <v>1000</v>
      </c>
      <c r="C124" s="2" t="s">
        <v>1896</v>
      </c>
      <c r="D124" s="2" t="s">
        <v>1897</v>
      </c>
      <c r="E124" s="2">
        <v>81.0</v>
      </c>
      <c r="F124" s="2" t="s">
        <v>1455</v>
      </c>
      <c r="G124" s="2">
        <v>87.0</v>
      </c>
      <c r="H124" s="2">
        <v>1000.0</v>
      </c>
      <c r="I124" s="2">
        <v>74.0</v>
      </c>
      <c r="J124" s="2" t="s">
        <v>1509</v>
      </c>
      <c r="K124" s="2">
        <v>67.0</v>
      </c>
      <c r="L124" s="2" t="s">
        <v>1623</v>
      </c>
      <c r="M124" s="12">
        <f>+38</f>
        <v>38</v>
      </c>
      <c r="N124" s="2">
        <v>-61.0</v>
      </c>
      <c r="O124" s="12">
        <f>+27</f>
        <v>27</v>
      </c>
      <c r="P124" s="2" t="s">
        <v>1898</v>
      </c>
      <c r="Q124" s="2" t="s">
        <v>1473</v>
      </c>
    </row>
    <row r="125">
      <c r="A125" s="2"/>
      <c r="B125" s="2" t="s">
        <v>1009</v>
      </c>
      <c r="C125" s="2" t="s">
        <v>1899</v>
      </c>
      <c r="D125" s="2" t="s">
        <v>1900</v>
      </c>
      <c r="E125" s="2">
        <v>70.0</v>
      </c>
      <c r="F125" s="2" t="s">
        <v>1476</v>
      </c>
      <c r="G125" s="2">
        <v>78.0</v>
      </c>
      <c r="H125" s="2">
        <v>520.0</v>
      </c>
      <c r="I125" s="2">
        <v>62.0</v>
      </c>
      <c r="J125" s="2" t="s">
        <v>1483</v>
      </c>
      <c r="K125" s="2">
        <v>56.0</v>
      </c>
      <c r="L125" s="2" t="s">
        <v>1543</v>
      </c>
      <c r="M125" s="12">
        <f>+32</f>
        <v>32</v>
      </c>
      <c r="N125" s="2">
        <v>-51.0</v>
      </c>
      <c r="O125" s="12">
        <f>+21</f>
        <v>21</v>
      </c>
      <c r="P125" s="2" t="s">
        <v>1901</v>
      </c>
      <c r="Q125" s="2" t="s">
        <v>1473</v>
      </c>
    </row>
    <row r="126">
      <c r="A126" s="2"/>
      <c r="B126" s="2" t="s">
        <v>1018</v>
      </c>
      <c r="C126" s="2" t="s">
        <v>1902</v>
      </c>
      <c r="D126" s="2" t="s">
        <v>1903</v>
      </c>
      <c r="E126" s="2">
        <v>80.0</v>
      </c>
      <c r="F126" s="2" t="s">
        <v>1552</v>
      </c>
      <c r="G126" s="2">
        <v>86.0</v>
      </c>
      <c r="H126" s="2">
        <v>950.0</v>
      </c>
      <c r="I126" s="2">
        <v>72.0</v>
      </c>
      <c r="J126" s="2" t="s">
        <v>1449</v>
      </c>
      <c r="K126" s="2">
        <v>65.0</v>
      </c>
      <c r="L126" s="2" t="s">
        <v>1539</v>
      </c>
      <c r="M126" s="12">
        <f>+36</f>
        <v>36</v>
      </c>
      <c r="N126" s="2">
        <v>-60.0</v>
      </c>
      <c r="O126" s="12">
        <f>+26</f>
        <v>26</v>
      </c>
      <c r="P126" s="2" t="s">
        <v>1904</v>
      </c>
      <c r="Q126" s="2" t="s">
        <v>1473</v>
      </c>
    </row>
    <row r="127">
      <c r="A127" s="2"/>
      <c r="B127" s="2" t="s">
        <v>1027</v>
      </c>
      <c r="C127" s="2" t="s">
        <v>1905</v>
      </c>
      <c r="D127" s="2" t="s">
        <v>1906</v>
      </c>
      <c r="E127" s="2">
        <v>69.0</v>
      </c>
      <c r="F127" s="2" t="s">
        <v>1476</v>
      </c>
      <c r="G127" s="2">
        <v>76.0</v>
      </c>
      <c r="H127" s="2">
        <v>480.0</v>
      </c>
      <c r="I127" s="2">
        <v>61.0</v>
      </c>
      <c r="J127" s="2" t="s">
        <v>1483</v>
      </c>
      <c r="K127" s="2">
        <v>55.0</v>
      </c>
      <c r="L127" s="2" t="s">
        <v>1530</v>
      </c>
      <c r="M127" s="12">
        <f>+32</f>
        <v>32</v>
      </c>
      <c r="N127" s="2">
        <v>-52.0</v>
      </c>
      <c r="O127" s="12">
        <f>+22</f>
        <v>22</v>
      </c>
      <c r="P127" s="2" t="s">
        <v>1907</v>
      </c>
      <c r="Q127" s="2" t="s">
        <v>1459</v>
      </c>
    </row>
    <row r="128">
      <c r="A128" s="2"/>
      <c r="B128" s="2" t="s">
        <v>1035</v>
      </c>
      <c r="C128" s="2" t="s">
        <v>1908</v>
      </c>
      <c r="D128" s="2" t="s">
        <v>1909</v>
      </c>
      <c r="E128" s="2">
        <v>72.0</v>
      </c>
      <c r="F128" s="2" t="s">
        <v>1463</v>
      </c>
      <c r="G128" s="2">
        <v>80.0</v>
      </c>
      <c r="H128" s="2">
        <v>620.0</v>
      </c>
      <c r="I128" s="2">
        <v>65.0</v>
      </c>
      <c r="J128" s="2" t="s">
        <v>1476</v>
      </c>
      <c r="K128" s="2">
        <v>58.0</v>
      </c>
      <c r="L128" s="2" t="s">
        <v>1558</v>
      </c>
      <c r="M128" s="12">
        <f>+40</f>
        <v>40</v>
      </c>
      <c r="N128" s="2">
        <v>-55.0</v>
      </c>
      <c r="O128" s="12">
        <f>+24</f>
        <v>24</v>
      </c>
      <c r="P128" s="2" t="s">
        <v>1910</v>
      </c>
      <c r="Q128" s="2" t="s">
        <v>1479</v>
      </c>
    </row>
    <row r="129">
      <c r="A129" s="2"/>
      <c r="B129" s="2" t="s">
        <v>1044</v>
      </c>
      <c r="C129" s="2" t="s">
        <v>1911</v>
      </c>
      <c r="D129" s="2" t="s">
        <v>1912</v>
      </c>
      <c r="E129" s="2">
        <v>62.0</v>
      </c>
      <c r="F129" s="2" t="s">
        <v>1529</v>
      </c>
      <c r="G129" s="2">
        <v>70.0</v>
      </c>
      <c r="H129" s="2">
        <v>350.0</v>
      </c>
      <c r="I129" s="2">
        <v>56.0</v>
      </c>
      <c r="J129" s="2" t="s">
        <v>1490</v>
      </c>
      <c r="K129" s="2">
        <v>52.0</v>
      </c>
      <c r="L129" s="2" t="s">
        <v>1547</v>
      </c>
      <c r="M129" s="12">
        <f>+30</f>
        <v>30</v>
      </c>
      <c r="N129" s="2">
        <v>-48.0</v>
      </c>
      <c r="O129" s="12">
        <f>+18</f>
        <v>18</v>
      </c>
      <c r="P129" s="2" t="s">
        <v>1913</v>
      </c>
      <c r="Q129" s="2" t="s">
        <v>1549</v>
      </c>
    </row>
    <row r="130">
      <c r="A130" s="2"/>
      <c r="B130" s="2" t="s">
        <v>1052</v>
      </c>
      <c r="C130" s="2" t="s">
        <v>1914</v>
      </c>
      <c r="D130" s="2" t="s">
        <v>1915</v>
      </c>
      <c r="E130" s="2">
        <v>73.0</v>
      </c>
      <c r="F130" s="2" t="s">
        <v>1449</v>
      </c>
      <c r="G130" s="2">
        <v>80.0</v>
      </c>
      <c r="H130" s="2">
        <v>680.0</v>
      </c>
      <c r="I130" s="2">
        <v>66.0</v>
      </c>
      <c r="J130" s="2" t="s">
        <v>1476</v>
      </c>
      <c r="K130" s="2">
        <v>59.0</v>
      </c>
      <c r="L130" s="2" t="s">
        <v>1558</v>
      </c>
      <c r="M130" s="12">
        <f>+34</f>
        <v>34</v>
      </c>
      <c r="N130" s="2">
        <v>-55.0</v>
      </c>
      <c r="O130" s="12">
        <f>+23</f>
        <v>23</v>
      </c>
      <c r="P130" s="2" t="s">
        <v>1916</v>
      </c>
      <c r="Q130" s="2" t="s">
        <v>1473</v>
      </c>
    </row>
    <row r="131">
      <c r="A131" s="2"/>
      <c r="B131" s="2" t="s">
        <v>1061</v>
      </c>
      <c r="C131" s="2" t="s">
        <v>1917</v>
      </c>
      <c r="D131" s="2" t="s">
        <v>1918</v>
      </c>
      <c r="E131" s="2">
        <v>76.0</v>
      </c>
      <c r="F131" s="2" t="s">
        <v>1470</v>
      </c>
      <c r="G131" s="2">
        <v>82.0</v>
      </c>
      <c r="H131" s="2">
        <v>720.0</v>
      </c>
      <c r="I131" s="2">
        <v>68.0</v>
      </c>
      <c r="J131" s="2" t="s">
        <v>1482</v>
      </c>
      <c r="K131" s="2">
        <v>61.0</v>
      </c>
      <c r="L131" s="2" t="s">
        <v>1657</v>
      </c>
      <c r="M131" s="12">
        <f>+36</f>
        <v>36</v>
      </c>
      <c r="N131" s="2">
        <v>-56.0</v>
      </c>
      <c r="O131" s="12">
        <f>+24</f>
        <v>24</v>
      </c>
      <c r="P131" s="2" t="s">
        <v>1919</v>
      </c>
      <c r="Q131" s="2" t="s">
        <v>1459</v>
      </c>
    </row>
    <row r="132">
      <c r="A132" s="2"/>
      <c r="B132" s="2" t="s">
        <v>1070</v>
      </c>
      <c r="C132" s="2" t="s">
        <v>1920</v>
      </c>
      <c r="D132" s="2" t="s">
        <v>1921</v>
      </c>
      <c r="E132" s="2">
        <v>82.0</v>
      </c>
      <c r="F132" s="2" t="s">
        <v>1469</v>
      </c>
      <c r="G132" s="2">
        <v>88.0</v>
      </c>
      <c r="H132" s="2" t="s">
        <v>1553</v>
      </c>
      <c r="I132" s="2">
        <v>76.0</v>
      </c>
      <c r="J132" s="2" t="s">
        <v>1470</v>
      </c>
      <c r="K132" s="2">
        <v>68.0</v>
      </c>
      <c r="L132" s="2" t="s">
        <v>1554</v>
      </c>
      <c r="M132" s="12">
        <f>+38</f>
        <v>38</v>
      </c>
      <c r="N132" s="2">
        <v>-62.0</v>
      </c>
      <c r="O132" s="12">
        <f>+27</f>
        <v>27</v>
      </c>
      <c r="P132" s="2" t="s">
        <v>1922</v>
      </c>
      <c r="Q132" s="2" t="s">
        <v>1473</v>
      </c>
    </row>
    <row r="133">
      <c r="A133" s="2"/>
      <c r="B133" s="2" t="s">
        <v>1087</v>
      </c>
      <c r="C133" s="2" t="s">
        <v>1923</v>
      </c>
      <c r="D133" s="2" t="s">
        <v>1924</v>
      </c>
      <c r="E133" s="2">
        <v>77.0</v>
      </c>
      <c r="F133" s="2" t="s">
        <v>1515</v>
      </c>
      <c r="G133" s="2">
        <v>84.0</v>
      </c>
      <c r="H133" s="2">
        <v>850.0</v>
      </c>
      <c r="I133" s="2">
        <v>70.0</v>
      </c>
      <c r="J133" s="2" t="s">
        <v>1495</v>
      </c>
      <c r="K133" s="2">
        <v>63.0</v>
      </c>
      <c r="L133" s="2" t="s">
        <v>1534</v>
      </c>
      <c r="M133" s="12">
        <f>+36</f>
        <v>36</v>
      </c>
      <c r="N133" s="2">
        <v>-57.0</v>
      </c>
      <c r="O133" s="12">
        <f>+25</f>
        <v>25</v>
      </c>
      <c r="P133" s="2" t="s">
        <v>1925</v>
      </c>
      <c r="Q133" s="2" t="s">
        <v>1459</v>
      </c>
    </row>
    <row r="134">
      <c r="A134" s="2"/>
      <c r="B134" s="2" t="s">
        <v>1096</v>
      </c>
      <c r="C134" s="2" t="s">
        <v>1926</v>
      </c>
      <c r="D134" s="2" t="s">
        <v>1537</v>
      </c>
      <c r="E134" s="2">
        <v>78.0</v>
      </c>
      <c r="F134" s="2" t="s">
        <v>1538</v>
      </c>
      <c r="G134" s="2">
        <v>85.0</v>
      </c>
      <c r="H134" s="2">
        <v>900.0</v>
      </c>
      <c r="I134" s="2">
        <v>72.0</v>
      </c>
      <c r="J134" s="2" t="s">
        <v>1456</v>
      </c>
      <c r="K134" s="2">
        <v>64.0</v>
      </c>
      <c r="L134" s="2" t="s">
        <v>1539</v>
      </c>
      <c r="M134" s="12">
        <f>+37</f>
        <v>37</v>
      </c>
      <c r="N134" s="2">
        <v>-59.0</v>
      </c>
      <c r="O134" s="12">
        <f>+26</f>
        <v>26</v>
      </c>
      <c r="P134" s="2" t="s">
        <v>1927</v>
      </c>
      <c r="Q134" s="2" t="s">
        <v>1479</v>
      </c>
    </row>
    <row r="135">
      <c r="A135" s="2"/>
      <c r="B135" s="2" t="s">
        <v>1105</v>
      </c>
      <c r="C135" s="2" t="s">
        <v>1928</v>
      </c>
      <c r="D135" s="2" t="s">
        <v>1929</v>
      </c>
      <c r="E135" s="2">
        <v>69.0</v>
      </c>
      <c r="F135" s="2" t="s">
        <v>1476</v>
      </c>
      <c r="G135" s="2">
        <v>77.0</v>
      </c>
      <c r="H135" s="2">
        <v>480.0</v>
      </c>
      <c r="I135" s="2">
        <v>61.0</v>
      </c>
      <c r="J135" s="2" t="s">
        <v>1483</v>
      </c>
      <c r="K135" s="2">
        <v>55.0</v>
      </c>
      <c r="L135" s="2" t="s">
        <v>1530</v>
      </c>
      <c r="M135" s="12">
        <f>+32</f>
        <v>32</v>
      </c>
      <c r="N135" s="2">
        <v>-51.0</v>
      </c>
      <c r="O135" s="12">
        <f>+21</f>
        <v>21</v>
      </c>
      <c r="P135" s="2" t="s">
        <v>1930</v>
      </c>
      <c r="Q135" s="2" t="s">
        <v>1473</v>
      </c>
    </row>
    <row r="136">
      <c r="A136" s="2"/>
      <c r="B136" s="2" t="s">
        <v>1114</v>
      </c>
      <c r="C136" s="2" t="s">
        <v>1931</v>
      </c>
      <c r="D136" s="2" t="s">
        <v>1932</v>
      </c>
      <c r="E136" s="2">
        <v>72.0</v>
      </c>
      <c r="F136" s="2" t="s">
        <v>1449</v>
      </c>
      <c r="G136" s="2">
        <v>80.0</v>
      </c>
      <c r="H136" s="2">
        <v>640.0</v>
      </c>
      <c r="I136" s="2">
        <v>65.0</v>
      </c>
      <c r="J136" s="2" t="s">
        <v>1476</v>
      </c>
      <c r="K136" s="2">
        <v>58.0</v>
      </c>
      <c r="L136" s="2" t="s">
        <v>1543</v>
      </c>
      <c r="M136" s="12">
        <f>+34</f>
        <v>34</v>
      </c>
      <c r="N136" s="2">
        <v>-55.0</v>
      </c>
      <c r="O136" s="12">
        <f>+23</f>
        <v>23</v>
      </c>
      <c r="P136" s="2" t="s">
        <v>1933</v>
      </c>
      <c r="Q136" s="2" t="s">
        <v>1479</v>
      </c>
    </row>
    <row r="137">
      <c r="A137" s="2"/>
      <c r="B137" s="2" t="s">
        <v>1122</v>
      </c>
      <c r="C137" s="2" t="s">
        <v>1934</v>
      </c>
      <c r="D137" s="2" t="s">
        <v>1935</v>
      </c>
      <c r="E137" s="2">
        <v>74.0</v>
      </c>
      <c r="F137" s="2" t="s">
        <v>1470</v>
      </c>
      <c r="G137" s="2">
        <v>81.0</v>
      </c>
      <c r="H137" s="2">
        <v>700.0</v>
      </c>
      <c r="I137" s="2">
        <v>67.0</v>
      </c>
      <c r="J137" s="2" t="s">
        <v>1482</v>
      </c>
      <c r="K137" s="2">
        <v>60.0</v>
      </c>
      <c r="L137" s="2" t="s">
        <v>1566</v>
      </c>
      <c r="M137" s="12">
        <f>+35</f>
        <v>35</v>
      </c>
      <c r="N137" s="2">
        <v>-56.0</v>
      </c>
      <c r="O137" s="12">
        <f>+24</f>
        <v>24</v>
      </c>
      <c r="P137" s="2" t="s">
        <v>1936</v>
      </c>
      <c r="Q137" s="2" t="s">
        <v>1473</v>
      </c>
    </row>
    <row r="138">
      <c r="A138" s="2"/>
      <c r="B138" s="2" t="s">
        <v>1131</v>
      </c>
      <c r="C138" s="2" t="s">
        <v>1937</v>
      </c>
      <c r="D138" s="2" t="s">
        <v>1938</v>
      </c>
      <c r="E138" s="2">
        <v>65.0</v>
      </c>
      <c r="F138" s="2" t="s">
        <v>1483</v>
      </c>
      <c r="G138" s="2">
        <v>74.0</v>
      </c>
      <c r="H138" s="2">
        <v>420.0</v>
      </c>
      <c r="I138" s="2">
        <v>58.0</v>
      </c>
      <c r="J138" s="2" t="s">
        <v>1529</v>
      </c>
      <c r="K138" s="2">
        <v>52.0</v>
      </c>
      <c r="L138" s="2" t="s">
        <v>1547</v>
      </c>
      <c r="M138" s="12">
        <f>+30</f>
        <v>30</v>
      </c>
      <c r="N138" s="2">
        <v>-50.0</v>
      </c>
      <c r="O138" s="12">
        <f>+19</f>
        <v>19</v>
      </c>
      <c r="P138" s="2" t="s">
        <v>1939</v>
      </c>
      <c r="Q138" s="2" t="s">
        <v>1549</v>
      </c>
    </row>
    <row r="139">
      <c r="A139" s="2"/>
      <c r="B139" s="2" t="s">
        <v>1140</v>
      </c>
      <c r="C139" s="2" t="s">
        <v>1940</v>
      </c>
      <c r="D139" s="2" t="s">
        <v>1941</v>
      </c>
      <c r="E139" s="2">
        <v>70.0</v>
      </c>
      <c r="F139" s="2" t="s">
        <v>1482</v>
      </c>
      <c r="G139" s="2">
        <v>78.0</v>
      </c>
      <c r="H139" s="2">
        <v>520.0</v>
      </c>
      <c r="I139" s="2">
        <v>62.0</v>
      </c>
      <c r="J139" s="2" t="s">
        <v>1483</v>
      </c>
      <c r="K139" s="2">
        <v>56.0</v>
      </c>
      <c r="L139" s="2" t="s">
        <v>1543</v>
      </c>
      <c r="M139" s="12">
        <f>+33</f>
        <v>33</v>
      </c>
      <c r="N139" s="2">
        <v>-52.0</v>
      </c>
      <c r="O139" s="12">
        <f>+22</f>
        <v>22</v>
      </c>
      <c r="P139" s="2" t="s">
        <v>1942</v>
      </c>
      <c r="Q139" s="2" t="s">
        <v>1459</v>
      </c>
    </row>
    <row r="140">
      <c r="A140" s="2"/>
      <c r="B140" s="2" t="s">
        <v>1157</v>
      </c>
      <c r="C140" s="2" t="s">
        <v>1943</v>
      </c>
      <c r="D140" s="2" t="s">
        <v>1944</v>
      </c>
      <c r="E140" s="2">
        <v>79.0</v>
      </c>
      <c r="F140" s="2" t="s">
        <v>1520</v>
      </c>
      <c r="G140" s="2">
        <v>86.0</v>
      </c>
      <c r="H140" s="2">
        <v>940.0</v>
      </c>
      <c r="I140" s="2">
        <v>72.0</v>
      </c>
      <c r="J140" s="2" t="s">
        <v>1449</v>
      </c>
      <c r="K140" s="2">
        <v>65.0</v>
      </c>
      <c r="L140" s="2" t="s">
        <v>1539</v>
      </c>
      <c r="M140" s="12">
        <f>+37</f>
        <v>37</v>
      </c>
      <c r="N140" s="2">
        <v>-59.0</v>
      </c>
      <c r="O140" s="12">
        <f>+26</f>
        <v>26</v>
      </c>
      <c r="P140" s="2" t="s">
        <v>1945</v>
      </c>
      <c r="Q140" s="2" t="s">
        <v>1473</v>
      </c>
    </row>
    <row r="141">
      <c r="A141" s="2"/>
      <c r="B141" s="2" t="s">
        <v>1166</v>
      </c>
      <c r="C141" s="2" t="s">
        <v>1946</v>
      </c>
      <c r="D141" s="2" t="s">
        <v>1947</v>
      </c>
      <c r="E141" s="2">
        <v>71.0</v>
      </c>
      <c r="F141" s="2" t="s">
        <v>1495</v>
      </c>
      <c r="G141" s="2">
        <v>79.0</v>
      </c>
      <c r="H141" s="2">
        <v>620.0</v>
      </c>
      <c r="I141" s="2">
        <v>65.0</v>
      </c>
      <c r="J141" s="2" t="s">
        <v>1476</v>
      </c>
      <c r="K141" s="2">
        <v>58.0</v>
      </c>
      <c r="L141" s="2" t="s">
        <v>1566</v>
      </c>
      <c r="M141" s="12">
        <f>+34</f>
        <v>34</v>
      </c>
      <c r="N141" s="2">
        <v>-53.0</v>
      </c>
      <c r="O141" s="12">
        <f>+23</f>
        <v>23</v>
      </c>
      <c r="P141" s="2" t="s">
        <v>1948</v>
      </c>
      <c r="Q141" s="2" t="s">
        <v>1459</v>
      </c>
    </row>
    <row r="142">
      <c r="A142" s="2"/>
      <c r="B142" s="2" t="s">
        <v>1949</v>
      </c>
      <c r="C142" s="2" t="s">
        <v>1950</v>
      </c>
      <c r="D142" s="2" t="s">
        <v>1951</v>
      </c>
      <c r="E142" s="2">
        <v>75.0</v>
      </c>
      <c r="F142" s="2" t="s">
        <v>1470</v>
      </c>
      <c r="G142" s="2">
        <v>82.0</v>
      </c>
      <c r="H142" s="2">
        <v>720.0</v>
      </c>
      <c r="I142" s="2">
        <v>68.0</v>
      </c>
      <c r="J142" s="2" t="s">
        <v>1463</v>
      </c>
      <c r="K142" s="2">
        <v>61.0</v>
      </c>
      <c r="L142" s="2" t="s">
        <v>1562</v>
      </c>
      <c r="M142" s="12">
        <f>+36</f>
        <v>36</v>
      </c>
      <c r="N142" s="2">
        <v>-55.0</v>
      </c>
      <c r="O142" s="12">
        <f>+24</f>
        <v>24</v>
      </c>
      <c r="P142" s="2" t="s">
        <v>1952</v>
      </c>
      <c r="Q142" s="2" t="s">
        <v>1473</v>
      </c>
    </row>
    <row r="143">
      <c r="A143" s="2"/>
      <c r="B143" s="2" t="s">
        <v>1953</v>
      </c>
      <c r="C143" s="2" t="s">
        <v>1954</v>
      </c>
      <c r="D143" s="2" t="s">
        <v>1955</v>
      </c>
      <c r="E143" s="2">
        <v>78.0</v>
      </c>
      <c r="F143" s="2" t="s">
        <v>1538</v>
      </c>
      <c r="G143" s="2">
        <v>85.0</v>
      </c>
      <c r="H143" s="2">
        <v>900.0</v>
      </c>
      <c r="I143" s="2">
        <v>71.0</v>
      </c>
      <c r="J143" s="2" t="s">
        <v>1456</v>
      </c>
      <c r="K143" s="2">
        <v>64.0</v>
      </c>
      <c r="L143" s="2" t="s">
        <v>1539</v>
      </c>
      <c r="M143" s="12">
        <f>+38</f>
        <v>38</v>
      </c>
      <c r="N143" s="2">
        <v>-59.0</v>
      </c>
      <c r="O143" s="12">
        <f t="shared" ref="O143:O144" si="5">+26</f>
        <v>26</v>
      </c>
      <c r="P143" s="2" t="s">
        <v>1956</v>
      </c>
      <c r="Q143" s="2" t="s">
        <v>1479</v>
      </c>
    </row>
    <row r="144">
      <c r="A144" s="2"/>
      <c r="B144" s="2" t="s">
        <v>1225</v>
      </c>
      <c r="C144" s="2" t="s">
        <v>1957</v>
      </c>
      <c r="D144" s="2" t="s">
        <v>1958</v>
      </c>
      <c r="E144" s="2">
        <v>78.0</v>
      </c>
      <c r="F144" s="2" t="s">
        <v>1538</v>
      </c>
      <c r="G144" s="2">
        <v>85.0</v>
      </c>
      <c r="H144" s="2">
        <v>900.0</v>
      </c>
      <c r="I144" s="2">
        <v>72.0</v>
      </c>
      <c r="J144" s="2" t="s">
        <v>1456</v>
      </c>
      <c r="K144" s="2">
        <v>65.0</v>
      </c>
      <c r="L144" s="2" t="s">
        <v>1610</v>
      </c>
      <c r="M144" s="12">
        <f>+37</f>
        <v>37</v>
      </c>
      <c r="N144" s="2">
        <v>-59.0</v>
      </c>
      <c r="O144" s="12">
        <f t="shared" si="5"/>
        <v>26</v>
      </c>
      <c r="P144" s="2" t="s">
        <v>1959</v>
      </c>
      <c r="Q144" s="2" t="s">
        <v>1459</v>
      </c>
    </row>
    <row r="145">
      <c r="A145" s="2"/>
      <c r="B145" s="2" t="s">
        <v>1243</v>
      </c>
      <c r="C145" s="2" t="s">
        <v>1960</v>
      </c>
      <c r="D145" s="2" t="s">
        <v>1961</v>
      </c>
      <c r="E145" s="2">
        <v>70.0</v>
      </c>
      <c r="F145" s="2" t="s">
        <v>1482</v>
      </c>
      <c r="G145" s="2">
        <v>78.0</v>
      </c>
      <c r="H145" s="2">
        <v>520.0</v>
      </c>
      <c r="I145" s="2">
        <v>63.0</v>
      </c>
      <c r="J145" s="2" t="s">
        <v>1483</v>
      </c>
      <c r="K145" s="2">
        <v>56.0</v>
      </c>
      <c r="L145" s="2" t="s">
        <v>1573</v>
      </c>
      <c r="M145" s="12">
        <f>+34</f>
        <v>34</v>
      </c>
      <c r="N145" s="2">
        <v>-52.0</v>
      </c>
      <c r="O145" s="12">
        <f>+22</f>
        <v>22</v>
      </c>
      <c r="P145" s="2" t="s">
        <v>1962</v>
      </c>
      <c r="Q145" s="2" t="s">
        <v>1473</v>
      </c>
    </row>
    <row r="146">
      <c r="A146" s="2"/>
      <c r="B146" s="2" t="s">
        <v>1234</v>
      </c>
      <c r="C146" s="2" t="s">
        <v>1963</v>
      </c>
      <c r="D146" s="2" t="s">
        <v>1964</v>
      </c>
      <c r="E146" s="2">
        <v>74.0</v>
      </c>
      <c r="F146" s="2" t="s">
        <v>1449</v>
      </c>
      <c r="G146" s="2">
        <v>82.0</v>
      </c>
      <c r="H146" s="2">
        <v>700.0</v>
      </c>
      <c r="I146" s="2">
        <v>67.0</v>
      </c>
      <c r="J146" s="2" t="s">
        <v>1482</v>
      </c>
      <c r="K146" s="2">
        <v>60.0</v>
      </c>
      <c r="L146" s="2" t="s">
        <v>1558</v>
      </c>
      <c r="M146" s="12">
        <f>+36</f>
        <v>36</v>
      </c>
      <c r="N146" s="2">
        <v>-55.0</v>
      </c>
      <c r="O146" s="12">
        <f>+24</f>
        <v>24</v>
      </c>
      <c r="P146" s="2" t="s">
        <v>1965</v>
      </c>
      <c r="Q146" s="2" t="s">
        <v>1466</v>
      </c>
    </row>
    <row r="147">
      <c r="A147" s="2"/>
      <c r="B147" s="2" t="s">
        <v>1966</v>
      </c>
      <c r="C147" s="2" t="s">
        <v>1967</v>
      </c>
      <c r="D147" s="2" t="s">
        <v>1968</v>
      </c>
      <c r="E147" s="2">
        <v>69.0</v>
      </c>
      <c r="F147" s="2" t="s">
        <v>1476</v>
      </c>
      <c r="G147" s="2">
        <v>76.0</v>
      </c>
      <c r="H147" s="2">
        <v>480.0</v>
      </c>
      <c r="I147" s="2">
        <v>61.0</v>
      </c>
      <c r="J147" s="2" t="s">
        <v>1483</v>
      </c>
      <c r="K147" s="2">
        <v>55.0</v>
      </c>
      <c r="L147" s="2" t="s">
        <v>1530</v>
      </c>
      <c r="M147" s="12">
        <f>+32</f>
        <v>32</v>
      </c>
      <c r="N147" s="2">
        <v>-52.0</v>
      </c>
      <c r="O147" s="12">
        <f>+21</f>
        <v>21</v>
      </c>
      <c r="P147" s="2" t="s">
        <v>1969</v>
      </c>
      <c r="Q147" s="2" t="s">
        <v>1459</v>
      </c>
    </row>
    <row r="148">
      <c r="A148" s="2"/>
      <c r="B148" s="2" t="s">
        <v>1970</v>
      </c>
      <c r="C148" s="2" t="s">
        <v>1971</v>
      </c>
      <c r="D148" s="2" t="s">
        <v>1972</v>
      </c>
      <c r="E148" s="2">
        <v>71.0</v>
      </c>
      <c r="F148" s="2" t="s">
        <v>1463</v>
      </c>
      <c r="G148" s="2">
        <v>79.0</v>
      </c>
      <c r="H148" s="2">
        <v>620.0</v>
      </c>
      <c r="I148" s="2">
        <v>64.0</v>
      </c>
      <c r="J148" s="2" t="s">
        <v>1489</v>
      </c>
      <c r="K148" s="2">
        <v>57.0</v>
      </c>
      <c r="L148" s="2" t="s">
        <v>1543</v>
      </c>
      <c r="M148" s="12">
        <f>+34</f>
        <v>34</v>
      </c>
      <c r="N148" s="2">
        <v>-53.0</v>
      </c>
      <c r="O148" s="12">
        <f>+22</f>
        <v>22</v>
      </c>
      <c r="P148" s="2" t="s">
        <v>1973</v>
      </c>
      <c r="Q148" s="2" t="s">
        <v>1473</v>
      </c>
    </row>
    <row r="149">
      <c r="A149" s="2"/>
      <c r="B149" s="2" t="s">
        <v>1974</v>
      </c>
      <c r="C149" s="2" t="s">
        <v>1975</v>
      </c>
      <c r="D149" s="2" t="s">
        <v>1976</v>
      </c>
      <c r="E149" s="2">
        <v>66.0</v>
      </c>
      <c r="F149" s="2" t="s">
        <v>1489</v>
      </c>
      <c r="G149" s="2">
        <v>74.0</v>
      </c>
      <c r="H149" s="2">
        <v>460.0</v>
      </c>
      <c r="I149" s="2">
        <v>59.0</v>
      </c>
      <c r="J149" s="2" t="s">
        <v>1529</v>
      </c>
      <c r="K149" s="2">
        <v>53.0</v>
      </c>
      <c r="L149" s="2" t="s">
        <v>1585</v>
      </c>
      <c r="M149" s="12">
        <f>+30</f>
        <v>30</v>
      </c>
      <c r="N149" s="2">
        <v>-50.0</v>
      </c>
      <c r="O149" s="12">
        <f>+19</f>
        <v>19</v>
      </c>
      <c r="P149" s="2" t="s">
        <v>1977</v>
      </c>
      <c r="Q149" s="2" t="s">
        <v>1549</v>
      </c>
    </row>
    <row r="150">
      <c r="A150" s="2"/>
      <c r="B150" s="2" t="s">
        <v>1978</v>
      </c>
      <c r="C150" s="2" t="s">
        <v>1979</v>
      </c>
      <c r="D150" s="2" t="s">
        <v>1980</v>
      </c>
      <c r="E150" s="2">
        <v>70.0</v>
      </c>
      <c r="F150" s="2" t="s">
        <v>1482</v>
      </c>
      <c r="G150" s="2">
        <v>77.0</v>
      </c>
      <c r="H150" s="2">
        <v>520.0</v>
      </c>
      <c r="I150" s="2">
        <v>62.0</v>
      </c>
      <c r="J150" s="2" t="s">
        <v>1483</v>
      </c>
      <c r="K150" s="2">
        <v>56.0</v>
      </c>
      <c r="L150" s="2" t="s">
        <v>1573</v>
      </c>
      <c r="M150" s="12">
        <f>+32</f>
        <v>32</v>
      </c>
      <c r="N150" s="2">
        <v>-51.0</v>
      </c>
      <c r="O150" s="12">
        <f>+21</f>
        <v>21</v>
      </c>
      <c r="P150" s="2" t="s">
        <v>1981</v>
      </c>
      <c r="Q150" s="2" t="s">
        <v>1473</v>
      </c>
    </row>
    <row r="151">
      <c r="A151" s="2"/>
      <c r="B151" s="2" t="s">
        <v>1251</v>
      </c>
      <c r="C151" s="2" t="s">
        <v>1982</v>
      </c>
      <c r="D151" s="2" t="s">
        <v>1983</v>
      </c>
      <c r="E151" s="2">
        <v>78.0</v>
      </c>
      <c r="F151" s="2" t="s">
        <v>1515</v>
      </c>
      <c r="G151" s="2">
        <v>85.0</v>
      </c>
      <c r="H151" s="2">
        <v>900.0</v>
      </c>
      <c r="I151" s="2">
        <v>72.0</v>
      </c>
      <c r="J151" s="2" t="s">
        <v>1456</v>
      </c>
      <c r="K151" s="2">
        <v>65.0</v>
      </c>
      <c r="L151" s="2" t="s">
        <v>1534</v>
      </c>
      <c r="M151" s="12">
        <f>+36</f>
        <v>36</v>
      </c>
      <c r="N151" s="2">
        <v>-59.0</v>
      </c>
      <c r="O151" s="12">
        <f>+26</f>
        <v>26</v>
      </c>
      <c r="P151" s="2" t="s">
        <v>1984</v>
      </c>
      <c r="Q151" s="2" t="s">
        <v>1473</v>
      </c>
    </row>
    <row r="152">
      <c r="A152" s="2"/>
      <c r="B152" s="2" t="s">
        <v>1259</v>
      </c>
      <c r="C152" s="2" t="s">
        <v>1985</v>
      </c>
      <c r="D152" s="2" t="s">
        <v>1986</v>
      </c>
      <c r="E152" s="2">
        <v>72.0</v>
      </c>
      <c r="F152" s="2" t="s">
        <v>1495</v>
      </c>
      <c r="G152" s="2">
        <v>80.0</v>
      </c>
      <c r="H152" s="2">
        <v>640.0</v>
      </c>
      <c r="I152" s="2">
        <v>65.0</v>
      </c>
      <c r="J152" s="2" t="s">
        <v>1476</v>
      </c>
      <c r="K152" s="2">
        <v>58.0</v>
      </c>
      <c r="L152" s="2" t="s">
        <v>1558</v>
      </c>
      <c r="M152" s="12">
        <f>+34</f>
        <v>34</v>
      </c>
      <c r="N152" s="2">
        <v>-53.0</v>
      </c>
      <c r="O152" s="12">
        <f>+23</f>
        <v>23</v>
      </c>
      <c r="P152" s="2" t="s">
        <v>1987</v>
      </c>
      <c r="Q152" s="2" t="s">
        <v>1479</v>
      </c>
    </row>
    <row r="153">
      <c r="A153" s="2"/>
      <c r="B153" s="2" t="s">
        <v>1268</v>
      </c>
      <c r="C153" s="2" t="s">
        <v>1988</v>
      </c>
      <c r="D153" s="2" t="s">
        <v>1989</v>
      </c>
      <c r="E153" s="2">
        <v>69.0</v>
      </c>
      <c r="F153" s="2" t="s">
        <v>1476</v>
      </c>
      <c r="G153" s="2">
        <v>76.0</v>
      </c>
      <c r="H153" s="2">
        <v>480.0</v>
      </c>
      <c r="I153" s="2">
        <v>61.0</v>
      </c>
      <c r="J153" s="2" t="s">
        <v>1483</v>
      </c>
      <c r="K153" s="2">
        <v>55.0</v>
      </c>
      <c r="L153" s="2" t="s">
        <v>1530</v>
      </c>
      <c r="M153" s="12">
        <f>+31</f>
        <v>31</v>
      </c>
      <c r="N153" s="2">
        <v>-51.0</v>
      </c>
      <c r="O153" s="12">
        <f>+21</f>
        <v>21</v>
      </c>
      <c r="P153" s="2" t="s">
        <v>1990</v>
      </c>
      <c r="Q153" s="2" t="s">
        <v>1473</v>
      </c>
    </row>
    <row r="154">
      <c r="A154" s="2"/>
      <c r="B154" s="2" t="s">
        <v>1277</v>
      </c>
      <c r="C154" s="2" t="s">
        <v>1991</v>
      </c>
      <c r="D154" s="2" t="s">
        <v>1992</v>
      </c>
      <c r="E154" s="2">
        <v>76.0</v>
      </c>
      <c r="F154" s="2" t="s">
        <v>1470</v>
      </c>
      <c r="G154" s="2">
        <v>82.0</v>
      </c>
      <c r="H154" s="2">
        <v>700.0</v>
      </c>
      <c r="I154" s="2">
        <v>68.0</v>
      </c>
      <c r="J154" s="2" t="s">
        <v>1463</v>
      </c>
      <c r="K154" s="2">
        <v>61.0</v>
      </c>
      <c r="L154" s="2" t="s">
        <v>1534</v>
      </c>
      <c r="M154" s="12">
        <f>+36</f>
        <v>36</v>
      </c>
      <c r="N154" s="2">
        <v>-56.0</v>
      </c>
      <c r="O154" s="12">
        <f>+24</f>
        <v>24</v>
      </c>
      <c r="P154" s="2" t="s">
        <v>1993</v>
      </c>
      <c r="Q154" s="2" t="s">
        <v>1479</v>
      </c>
    </row>
    <row r="155">
      <c r="A155" s="2"/>
      <c r="B155" s="2" t="s">
        <v>1994</v>
      </c>
      <c r="C155" s="2" t="s">
        <v>1995</v>
      </c>
      <c r="D155" s="2" t="s">
        <v>1996</v>
      </c>
      <c r="E155" s="2">
        <v>73.0</v>
      </c>
      <c r="F155" s="2" t="s">
        <v>1449</v>
      </c>
      <c r="G155" s="2">
        <v>80.0</v>
      </c>
      <c r="H155" s="2">
        <v>680.0</v>
      </c>
      <c r="I155" s="2">
        <v>66.0</v>
      </c>
      <c r="J155" s="2" t="s">
        <v>1476</v>
      </c>
      <c r="K155" s="2">
        <v>59.0</v>
      </c>
      <c r="L155" s="2" t="s">
        <v>1558</v>
      </c>
      <c r="M155" s="12">
        <f>+35</f>
        <v>35</v>
      </c>
      <c r="N155" s="2">
        <v>-55.0</v>
      </c>
      <c r="O155" s="12">
        <f>+23</f>
        <v>23</v>
      </c>
      <c r="P155" s="2" t="s">
        <v>1997</v>
      </c>
      <c r="Q155" s="2" t="s">
        <v>1473</v>
      </c>
    </row>
    <row r="156">
      <c r="A156" s="2"/>
      <c r="B156" s="2" t="s">
        <v>1284</v>
      </c>
      <c r="C156" s="2" t="s">
        <v>1896</v>
      </c>
      <c r="D156" s="2" t="s">
        <v>1897</v>
      </c>
      <c r="E156" s="2">
        <v>81.0</v>
      </c>
      <c r="F156" s="2" t="s">
        <v>1455</v>
      </c>
      <c r="G156" s="2">
        <v>87.0</v>
      </c>
      <c r="H156" s="2" t="s">
        <v>1577</v>
      </c>
      <c r="I156" s="2">
        <v>74.0</v>
      </c>
      <c r="J156" s="2" t="s">
        <v>1509</v>
      </c>
      <c r="K156" s="2">
        <v>67.0</v>
      </c>
      <c r="L156" s="2" t="s">
        <v>1623</v>
      </c>
      <c r="M156" s="12">
        <f>+38</f>
        <v>38</v>
      </c>
      <c r="N156" s="2">
        <v>-61.0</v>
      </c>
      <c r="O156" s="12">
        <f>+27</f>
        <v>27</v>
      </c>
      <c r="P156" s="2" t="s">
        <v>1998</v>
      </c>
      <c r="Q156" s="2" t="s">
        <v>1473</v>
      </c>
    </row>
    <row r="157">
      <c r="A157" s="2"/>
      <c r="B157" s="2" t="s">
        <v>1290</v>
      </c>
      <c r="C157" s="2" t="s">
        <v>1999</v>
      </c>
      <c r="D157" s="2" t="s">
        <v>2000</v>
      </c>
      <c r="E157" s="2">
        <v>68.0</v>
      </c>
      <c r="F157" s="2" t="s">
        <v>1489</v>
      </c>
      <c r="G157" s="2">
        <v>75.0</v>
      </c>
      <c r="H157" s="2">
        <v>460.0</v>
      </c>
      <c r="I157" s="2">
        <v>60.0</v>
      </c>
      <c r="J157" s="2" t="s">
        <v>1529</v>
      </c>
      <c r="K157" s="2">
        <v>54.0</v>
      </c>
      <c r="L157" s="2" t="s">
        <v>1585</v>
      </c>
      <c r="M157" s="12">
        <f>+30</f>
        <v>30</v>
      </c>
      <c r="N157" s="2">
        <v>-50.0</v>
      </c>
      <c r="O157" s="12">
        <f>+20</f>
        <v>20</v>
      </c>
      <c r="P157" s="2" t="s">
        <v>2001</v>
      </c>
      <c r="Q157" s="2" t="s">
        <v>1473</v>
      </c>
    </row>
    <row r="158">
      <c r="A158" s="2"/>
      <c r="B158" s="2" t="s">
        <v>1299</v>
      </c>
      <c r="C158" s="2" t="s">
        <v>2002</v>
      </c>
      <c r="D158" s="2" t="s">
        <v>2003</v>
      </c>
      <c r="E158" s="2">
        <v>72.0</v>
      </c>
      <c r="F158" s="2" t="s">
        <v>1449</v>
      </c>
      <c r="G158" s="2">
        <v>79.0</v>
      </c>
      <c r="H158" s="2">
        <v>620.0</v>
      </c>
      <c r="I158" s="2">
        <v>65.0</v>
      </c>
      <c r="J158" s="2" t="s">
        <v>1476</v>
      </c>
      <c r="K158" s="2">
        <v>59.0</v>
      </c>
      <c r="L158" s="2" t="s">
        <v>1539</v>
      </c>
      <c r="M158" s="12">
        <f>+35</f>
        <v>35</v>
      </c>
      <c r="N158" s="2">
        <v>-55.0</v>
      </c>
      <c r="O158" s="12">
        <f>+23</f>
        <v>23</v>
      </c>
      <c r="P158" s="2" t="s">
        <v>2004</v>
      </c>
      <c r="Q158" s="2" t="s">
        <v>1479</v>
      </c>
    </row>
    <row r="159">
      <c r="A159" s="2"/>
      <c r="B159" s="2" t="s">
        <v>1332</v>
      </c>
      <c r="C159" s="2" t="s">
        <v>1834</v>
      </c>
      <c r="D159" s="2" t="s">
        <v>1835</v>
      </c>
      <c r="E159" s="2">
        <v>77.0</v>
      </c>
      <c r="F159" s="2" t="s">
        <v>1609</v>
      </c>
      <c r="G159" s="2">
        <v>84.0</v>
      </c>
      <c r="H159" s="2">
        <v>800.0</v>
      </c>
      <c r="I159" s="2">
        <v>70.0</v>
      </c>
      <c r="J159" s="2" t="s">
        <v>1495</v>
      </c>
      <c r="K159" s="2">
        <v>63.0</v>
      </c>
      <c r="L159" s="2" t="s">
        <v>1534</v>
      </c>
      <c r="M159" s="12">
        <f>+36</f>
        <v>36</v>
      </c>
      <c r="N159" s="2">
        <v>-57.0</v>
      </c>
      <c r="O159" s="12">
        <f>+25</f>
        <v>25</v>
      </c>
      <c r="P159" s="2" t="s">
        <v>2005</v>
      </c>
      <c r="Q159" s="2" t="s">
        <v>1473</v>
      </c>
    </row>
    <row r="160">
      <c r="A160" s="2"/>
      <c r="B160" s="2" t="s">
        <v>2006</v>
      </c>
      <c r="C160" s="2" t="s">
        <v>2007</v>
      </c>
      <c r="D160" s="2" t="s">
        <v>2008</v>
      </c>
      <c r="E160" s="2">
        <v>74.0</v>
      </c>
      <c r="F160" s="2" t="s">
        <v>1509</v>
      </c>
      <c r="G160" s="2">
        <v>81.0</v>
      </c>
      <c r="H160" s="2">
        <v>700.0</v>
      </c>
      <c r="I160" s="2">
        <v>66.0</v>
      </c>
      <c r="J160" s="2" t="s">
        <v>1482</v>
      </c>
      <c r="K160" s="2">
        <v>59.0</v>
      </c>
      <c r="L160" s="2" t="s">
        <v>1558</v>
      </c>
      <c r="M160" s="12">
        <f>+34</f>
        <v>34</v>
      </c>
      <c r="N160" s="2">
        <v>-55.0</v>
      </c>
      <c r="O160" s="12">
        <f>+24</f>
        <v>24</v>
      </c>
      <c r="P160" s="2" t="s">
        <v>2009</v>
      </c>
      <c r="Q160" s="2" t="s">
        <v>1479</v>
      </c>
    </row>
    <row r="161">
      <c r="A161" s="2"/>
      <c r="B161" s="2" t="s">
        <v>2010</v>
      </c>
      <c r="C161" s="2" t="s">
        <v>2011</v>
      </c>
      <c r="D161" s="2" t="s">
        <v>2012</v>
      </c>
      <c r="E161" s="2">
        <v>70.0</v>
      </c>
      <c r="F161" s="2" t="s">
        <v>1482</v>
      </c>
      <c r="G161" s="2">
        <v>78.0</v>
      </c>
      <c r="H161" s="2">
        <v>520.0</v>
      </c>
      <c r="I161" s="2">
        <v>62.0</v>
      </c>
      <c r="J161" s="2" t="s">
        <v>1483</v>
      </c>
      <c r="K161" s="2">
        <v>56.0</v>
      </c>
      <c r="L161" s="2" t="s">
        <v>1543</v>
      </c>
      <c r="M161" s="12">
        <f>+33</f>
        <v>33</v>
      </c>
      <c r="N161" s="2">
        <v>-52.0</v>
      </c>
      <c r="O161" s="12">
        <f>+22</f>
        <v>22</v>
      </c>
      <c r="P161" s="2" t="s">
        <v>2013</v>
      </c>
      <c r="Q161" s="2" t="s">
        <v>1473</v>
      </c>
    </row>
    <row r="162">
      <c r="A162" s="2"/>
      <c r="B162" s="2" t="s">
        <v>2014</v>
      </c>
      <c r="C162" s="2" t="s">
        <v>2015</v>
      </c>
      <c r="D162" s="2" t="s">
        <v>2016</v>
      </c>
      <c r="E162" s="2">
        <v>68.0</v>
      </c>
      <c r="F162" s="2" t="s">
        <v>1489</v>
      </c>
      <c r="G162" s="2">
        <v>77.0</v>
      </c>
      <c r="H162" s="2">
        <v>500.0</v>
      </c>
      <c r="I162" s="2">
        <v>60.0</v>
      </c>
      <c r="J162" s="2" t="s">
        <v>1529</v>
      </c>
      <c r="K162" s="2">
        <v>55.0</v>
      </c>
      <c r="L162" s="2" t="s">
        <v>1530</v>
      </c>
      <c r="M162" s="12">
        <f>+32</f>
        <v>32</v>
      </c>
      <c r="N162" s="2">
        <v>-50.0</v>
      </c>
      <c r="O162" s="12">
        <f>+20</f>
        <v>20</v>
      </c>
      <c r="P162" s="2" t="s">
        <v>2017</v>
      </c>
      <c r="Q162" s="2" t="s">
        <v>1512</v>
      </c>
    </row>
    <row r="163">
      <c r="A163" s="2"/>
      <c r="B163" s="2" t="s">
        <v>2018</v>
      </c>
      <c r="C163" s="2" t="s">
        <v>2019</v>
      </c>
      <c r="D163" s="2" t="s">
        <v>2020</v>
      </c>
      <c r="E163" s="2">
        <v>65.0</v>
      </c>
      <c r="F163" s="2" t="s">
        <v>1483</v>
      </c>
      <c r="G163" s="2">
        <v>74.0</v>
      </c>
      <c r="H163" s="2">
        <v>420.0</v>
      </c>
      <c r="I163" s="2">
        <v>58.0</v>
      </c>
      <c r="J163" s="2" t="s">
        <v>1529</v>
      </c>
      <c r="K163" s="2">
        <v>52.0</v>
      </c>
      <c r="L163" s="2" t="s">
        <v>1547</v>
      </c>
      <c r="M163" s="12">
        <f>+30</f>
        <v>30</v>
      </c>
      <c r="N163" s="2">
        <v>-49.0</v>
      </c>
      <c r="O163" s="12">
        <f>+19</f>
        <v>19</v>
      </c>
      <c r="P163" s="2" t="s">
        <v>2021</v>
      </c>
      <c r="Q163" s="2" t="s">
        <v>1549</v>
      </c>
    </row>
    <row r="164">
      <c r="A164" s="2"/>
      <c r="B164" s="2" t="s">
        <v>2022</v>
      </c>
      <c r="C164" s="2" t="s">
        <v>2023</v>
      </c>
      <c r="D164" s="2" t="s">
        <v>2024</v>
      </c>
      <c r="E164" s="2">
        <v>72.0</v>
      </c>
      <c r="F164" s="2" t="s">
        <v>1495</v>
      </c>
      <c r="G164" s="2">
        <v>80.0</v>
      </c>
      <c r="H164" s="2">
        <v>640.0</v>
      </c>
      <c r="I164" s="2">
        <v>65.0</v>
      </c>
      <c r="J164" s="2" t="s">
        <v>1476</v>
      </c>
      <c r="K164" s="2">
        <v>58.0</v>
      </c>
      <c r="L164" s="2" t="s">
        <v>1566</v>
      </c>
      <c r="M164" s="12">
        <f>+34</f>
        <v>34</v>
      </c>
      <c r="N164" s="2">
        <v>-53.0</v>
      </c>
      <c r="O164" s="12">
        <f>+23</f>
        <v>23</v>
      </c>
      <c r="P164" s="2" t="s">
        <v>2025</v>
      </c>
      <c r="Q164" s="2" t="s">
        <v>1473</v>
      </c>
    </row>
    <row r="165">
      <c r="A165" s="2"/>
      <c r="B165" s="2" t="s">
        <v>1307</v>
      </c>
      <c r="C165" s="2" t="s">
        <v>2026</v>
      </c>
      <c r="D165" s="2" t="s">
        <v>2027</v>
      </c>
      <c r="E165" s="2">
        <v>80.0</v>
      </c>
      <c r="F165" s="2" t="s">
        <v>1520</v>
      </c>
      <c r="G165" s="2">
        <v>86.0</v>
      </c>
      <c r="H165" s="2">
        <v>940.0</v>
      </c>
      <c r="I165" s="2">
        <v>73.0</v>
      </c>
      <c r="J165" s="2" t="s">
        <v>1449</v>
      </c>
      <c r="K165" s="2">
        <v>66.0</v>
      </c>
      <c r="L165" s="2" t="s">
        <v>1539</v>
      </c>
      <c r="M165" s="12">
        <f>+37</f>
        <v>37</v>
      </c>
      <c r="N165" s="2">
        <v>-60.0</v>
      </c>
      <c r="O165" s="12">
        <f>+26</f>
        <v>26</v>
      </c>
      <c r="P165" s="2" t="s">
        <v>2028</v>
      </c>
      <c r="Q165" s="2" t="s">
        <v>1473</v>
      </c>
    </row>
    <row r="166">
      <c r="A166" s="2"/>
      <c r="B166" s="2" t="s">
        <v>1315</v>
      </c>
      <c r="C166" s="2" t="s">
        <v>2029</v>
      </c>
      <c r="D166" s="2" t="s">
        <v>2030</v>
      </c>
      <c r="E166" s="2">
        <v>64.0</v>
      </c>
      <c r="F166" s="2" t="s">
        <v>1483</v>
      </c>
      <c r="G166" s="2">
        <v>73.0</v>
      </c>
      <c r="H166" s="2">
        <v>420.0</v>
      </c>
      <c r="I166" s="2">
        <v>58.0</v>
      </c>
      <c r="J166" s="2" t="s">
        <v>1529</v>
      </c>
      <c r="K166" s="2">
        <v>52.0</v>
      </c>
      <c r="L166" s="2" t="s">
        <v>1547</v>
      </c>
      <c r="M166" s="12">
        <f>+28</f>
        <v>28</v>
      </c>
      <c r="N166" s="2">
        <v>-49.0</v>
      </c>
      <c r="O166" s="12">
        <f>+18</f>
        <v>18</v>
      </c>
      <c r="P166" s="2" t="s">
        <v>2031</v>
      </c>
      <c r="Q166" s="2" t="s">
        <v>1549</v>
      </c>
    </row>
    <row r="167">
      <c r="A167" s="2"/>
      <c r="B167" s="2" t="s">
        <v>1323</v>
      </c>
      <c r="C167" s="2" t="s">
        <v>2032</v>
      </c>
      <c r="D167" s="2" t="s">
        <v>2033</v>
      </c>
      <c r="E167" s="2">
        <v>78.0</v>
      </c>
      <c r="F167" s="2" t="s">
        <v>1462</v>
      </c>
      <c r="G167" s="2">
        <v>85.0</v>
      </c>
      <c r="H167" s="2">
        <v>900.0</v>
      </c>
      <c r="I167" s="2">
        <v>72.0</v>
      </c>
      <c r="J167" s="2" t="s">
        <v>1456</v>
      </c>
      <c r="K167" s="2">
        <v>65.0</v>
      </c>
      <c r="L167" s="2" t="s">
        <v>1534</v>
      </c>
      <c r="M167" s="12">
        <f>+36</f>
        <v>36</v>
      </c>
      <c r="N167" s="2">
        <v>-59.0</v>
      </c>
      <c r="O167" s="12">
        <f>+26</f>
        <v>26</v>
      </c>
      <c r="P167" s="2" t="s">
        <v>2034</v>
      </c>
      <c r="Q167" s="2" t="s">
        <v>1459</v>
      </c>
    </row>
    <row r="168">
      <c r="A168" s="2"/>
      <c r="B168" s="2" t="s">
        <v>1341</v>
      </c>
      <c r="C168" s="2" t="s">
        <v>2035</v>
      </c>
      <c r="D168" s="2" t="s">
        <v>2036</v>
      </c>
      <c r="E168" s="2">
        <v>74.0</v>
      </c>
      <c r="F168" s="2" t="s">
        <v>1449</v>
      </c>
      <c r="G168" s="2">
        <v>81.0</v>
      </c>
      <c r="H168" s="2">
        <v>650.0</v>
      </c>
      <c r="I168" s="2">
        <v>66.0</v>
      </c>
      <c r="J168" s="2" t="s">
        <v>1482</v>
      </c>
      <c r="K168" s="2">
        <v>59.0</v>
      </c>
      <c r="L168" s="2" t="s">
        <v>1610</v>
      </c>
      <c r="M168" s="12">
        <f>+34</f>
        <v>34</v>
      </c>
      <c r="N168" s="2">
        <v>-56.0</v>
      </c>
      <c r="O168" s="12">
        <f>+24</f>
        <v>24</v>
      </c>
      <c r="P168" s="2" t="s">
        <v>2037</v>
      </c>
      <c r="Q168" s="2" t="s">
        <v>1459</v>
      </c>
    </row>
    <row r="169">
      <c r="A169" s="2"/>
      <c r="B169" s="2" t="s">
        <v>2038</v>
      </c>
      <c r="C169" s="2" t="s">
        <v>2039</v>
      </c>
      <c r="D169" s="2" t="s">
        <v>2040</v>
      </c>
      <c r="E169" s="2">
        <v>68.0</v>
      </c>
      <c r="F169" s="2" t="s">
        <v>1489</v>
      </c>
      <c r="G169" s="2">
        <v>76.0</v>
      </c>
      <c r="H169" s="2">
        <v>480.0</v>
      </c>
      <c r="I169" s="2">
        <v>60.0</v>
      </c>
      <c r="J169" s="2" t="s">
        <v>1529</v>
      </c>
      <c r="K169" s="2">
        <v>54.0</v>
      </c>
      <c r="L169" s="2" t="s">
        <v>1530</v>
      </c>
      <c r="M169" s="12">
        <f>+30</f>
        <v>30</v>
      </c>
      <c r="N169" s="2">
        <v>-50.0</v>
      </c>
      <c r="O169" s="12">
        <f>+20</f>
        <v>20</v>
      </c>
      <c r="P169" s="2" t="s">
        <v>2041</v>
      </c>
      <c r="Q169" s="2" t="s">
        <v>1549</v>
      </c>
    </row>
    <row r="170">
      <c r="A170" s="2"/>
      <c r="B170" s="2" t="s">
        <v>1350</v>
      </c>
      <c r="C170" s="2" t="s">
        <v>2042</v>
      </c>
      <c r="D170" s="2" t="s">
        <v>2043</v>
      </c>
      <c r="E170" s="2">
        <v>73.0</v>
      </c>
      <c r="F170" s="2" t="s">
        <v>1449</v>
      </c>
      <c r="G170" s="2">
        <v>80.0</v>
      </c>
      <c r="H170" s="2">
        <v>640.0</v>
      </c>
      <c r="I170" s="2">
        <v>66.0</v>
      </c>
      <c r="J170" s="2" t="s">
        <v>1476</v>
      </c>
      <c r="K170" s="2">
        <v>59.0</v>
      </c>
      <c r="L170" s="2" t="s">
        <v>1558</v>
      </c>
      <c r="M170" s="12">
        <f>+35</f>
        <v>35</v>
      </c>
      <c r="N170" s="2">
        <v>-55.0</v>
      </c>
      <c r="O170" s="12">
        <f>+23</f>
        <v>23</v>
      </c>
      <c r="P170" s="2" t="s">
        <v>2044</v>
      </c>
      <c r="Q170" s="2" t="s">
        <v>1473</v>
      </c>
    </row>
    <row r="171">
      <c r="A171" s="2"/>
      <c r="B171" s="2" t="s">
        <v>2045</v>
      </c>
      <c r="C171" s="2" t="s">
        <v>2046</v>
      </c>
      <c r="D171" s="2" t="s">
        <v>2047</v>
      </c>
      <c r="E171" s="2">
        <v>80.0</v>
      </c>
      <c r="F171" s="2" t="s">
        <v>1455</v>
      </c>
      <c r="G171" s="2">
        <v>86.0</v>
      </c>
      <c r="H171" s="2">
        <v>950.0</v>
      </c>
      <c r="I171" s="2">
        <v>73.0</v>
      </c>
      <c r="J171" s="2" t="s">
        <v>1449</v>
      </c>
      <c r="K171" s="2">
        <v>66.0</v>
      </c>
      <c r="L171" s="2" t="s">
        <v>1539</v>
      </c>
      <c r="M171" s="12">
        <f>+36</f>
        <v>36</v>
      </c>
      <c r="N171" s="2">
        <v>-60.0</v>
      </c>
      <c r="O171" s="12">
        <f>+26</f>
        <v>26</v>
      </c>
      <c r="P171" s="2" t="s">
        <v>2048</v>
      </c>
      <c r="Q171" s="2" t="s">
        <v>1473</v>
      </c>
    </row>
    <row r="172">
      <c r="A172" s="2"/>
      <c r="B172" s="2" t="s">
        <v>2049</v>
      </c>
      <c r="C172" s="2" t="s">
        <v>2050</v>
      </c>
      <c r="D172" s="2" t="s">
        <v>2051</v>
      </c>
      <c r="E172" s="2">
        <v>70.0</v>
      </c>
      <c r="F172" s="2" t="s">
        <v>1482</v>
      </c>
      <c r="G172" s="2">
        <v>78.0</v>
      </c>
      <c r="H172" s="2">
        <v>520.0</v>
      </c>
      <c r="I172" s="2">
        <v>62.0</v>
      </c>
      <c r="J172" s="2" t="s">
        <v>1483</v>
      </c>
      <c r="K172" s="2">
        <v>56.0</v>
      </c>
      <c r="L172" s="2" t="s">
        <v>1543</v>
      </c>
      <c r="M172" s="12">
        <f>+32</f>
        <v>32</v>
      </c>
      <c r="N172" s="2">
        <v>-52.0</v>
      </c>
      <c r="O172" s="12">
        <f>+22</f>
        <v>22</v>
      </c>
      <c r="P172" s="2" t="s">
        <v>2052</v>
      </c>
      <c r="Q172" s="2" t="s">
        <v>1479</v>
      </c>
    </row>
    <row r="173">
      <c r="A173" s="2"/>
      <c r="B173" s="2" t="s">
        <v>1359</v>
      </c>
      <c r="C173" s="2" t="s">
        <v>2053</v>
      </c>
      <c r="D173" s="2" t="s">
        <v>2054</v>
      </c>
      <c r="E173" s="2">
        <v>69.0</v>
      </c>
      <c r="F173" s="2" t="s">
        <v>1476</v>
      </c>
      <c r="G173" s="2">
        <v>77.0</v>
      </c>
      <c r="H173" s="2">
        <v>500.0</v>
      </c>
      <c r="I173" s="2">
        <v>61.0</v>
      </c>
      <c r="J173" s="2" t="s">
        <v>1483</v>
      </c>
      <c r="K173" s="2">
        <v>55.0</v>
      </c>
      <c r="L173" s="2" t="s">
        <v>1573</v>
      </c>
      <c r="M173" s="12">
        <f>+31</f>
        <v>31</v>
      </c>
      <c r="N173" s="2">
        <v>-51.0</v>
      </c>
      <c r="O173" s="12">
        <f>+21</f>
        <v>21</v>
      </c>
      <c r="P173" s="2" t="s">
        <v>2055</v>
      </c>
      <c r="Q173" s="2" t="s">
        <v>1473</v>
      </c>
    </row>
    <row r="174">
      <c r="A174" s="2"/>
      <c r="B174" s="2" t="s">
        <v>2056</v>
      </c>
      <c r="C174" s="2" t="s">
        <v>2057</v>
      </c>
      <c r="D174" s="2" t="s">
        <v>2058</v>
      </c>
      <c r="E174" s="2">
        <v>71.0</v>
      </c>
      <c r="F174" s="2" t="s">
        <v>1463</v>
      </c>
      <c r="G174" s="2">
        <v>79.0</v>
      </c>
      <c r="H174" s="2">
        <v>600.0</v>
      </c>
      <c r="I174" s="2">
        <v>64.0</v>
      </c>
      <c r="J174" s="2" t="s">
        <v>1489</v>
      </c>
      <c r="K174" s="2">
        <v>57.0</v>
      </c>
      <c r="L174" s="2" t="s">
        <v>2059</v>
      </c>
      <c r="M174" s="12">
        <f>+33</f>
        <v>33</v>
      </c>
      <c r="N174" s="2">
        <v>-53.0</v>
      </c>
      <c r="O174" s="12">
        <f>+22</f>
        <v>22</v>
      </c>
      <c r="P174" s="2" t="s">
        <v>2060</v>
      </c>
      <c r="Q174" s="2" t="s">
        <v>1473</v>
      </c>
    </row>
    <row r="175">
      <c r="A175" s="2"/>
      <c r="B175" s="2" t="s">
        <v>2061</v>
      </c>
      <c r="C175" s="2" t="s">
        <v>2062</v>
      </c>
      <c r="D175" s="2" t="s">
        <v>2063</v>
      </c>
      <c r="E175" s="2">
        <v>66.0</v>
      </c>
      <c r="F175" s="2" t="s">
        <v>1483</v>
      </c>
      <c r="G175" s="2">
        <v>74.0</v>
      </c>
      <c r="H175" s="2">
        <v>420.0</v>
      </c>
      <c r="I175" s="2">
        <v>58.0</v>
      </c>
      <c r="J175" s="2" t="s">
        <v>1529</v>
      </c>
      <c r="K175" s="2">
        <v>53.0</v>
      </c>
      <c r="L175" s="2" t="s">
        <v>1585</v>
      </c>
      <c r="M175" s="12">
        <f>+30</f>
        <v>30</v>
      </c>
      <c r="N175" s="2">
        <v>-50.0</v>
      </c>
      <c r="O175" s="12">
        <f>+19</f>
        <v>19</v>
      </c>
      <c r="P175" s="2" t="s">
        <v>2064</v>
      </c>
      <c r="Q175" s="2" t="s">
        <v>1479</v>
      </c>
    </row>
    <row r="176">
      <c r="A176" s="2"/>
      <c r="B176" s="2" t="s">
        <v>1368</v>
      </c>
      <c r="C176" s="2" t="s">
        <v>1498</v>
      </c>
      <c r="D176" s="2" t="s">
        <v>2065</v>
      </c>
      <c r="E176" s="2">
        <v>77.0</v>
      </c>
      <c r="F176" s="2" t="s">
        <v>1515</v>
      </c>
      <c r="G176" s="2">
        <v>84.0</v>
      </c>
      <c r="H176" s="2">
        <v>850.0</v>
      </c>
      <c r="I176" s="2">
        <v>70.0</v>
      </c>
      <c r="J176" s="2" t="s">
        <v>1495</v>
      </c>
      <c r="K176" s="2">
        <v>63.0</v>
      </c>
      <c r="L176" s="2" t="s">
        <v>1534</v>
      </c>
      <c r="M176" s="12">
        <f>+36</f>
        <v>36</v>
      </c>
      <c r="N176" s="2">
        <v>-57.0</v>
      </c>
      <c r="O176" s="12">
        <f>+25</f>
        <v>25</v>
      </c>
      <c r="P176" s="2" t="s">
        <v>2066</v>
      </c>
      <c r="Q176" s="2" t="s">
        <v>1473</v>
      </c>
    </row>
    <row r="177">
      <c r="A177" s="2"/>
      <c r="B177" s="2" t="s">
        <v>2067</v>
      </c>
      <c r="C177" s="2" t="s">
        <v>2068</v>
      </c>
      <c r="D177" s="2" t="s">
        <v>2069</v>
      </c>
      <c r="E177" s="2">
        <v>74.0</v>
      </c>
      <c r="F177" s="2" t="s">
        <v>1509</v>
      </c>
      <c r="G177" s="2">
        <v>81.0</v>
      </c>
      <c r="H177" s="2">
        <v>700.0</v>
      </c>
      <c r="I177" s="2">
        <v>67.0</v>
      </c>
      <c r="J177" s="2" t="s">
        <v>1482</v>
      </c>
      <c r="K177" s="2">
        <v>60.0</v>
      </c>
      <c r="L177" s="2" t="s">
        <v>1558</v>
      </c>
      <c r="M177" s="12">
        <f>+34</f>
        <v>34</v>
      </c>
      <c r="N177" s="2">
        <v>-56.0</v>
      </c>
      <c r="O177" s="12">
        <f>+24</f>
        <v>24</v>
      </c>
      <c r="P177" s="2" t="s">
        <v>2070</v>
      </c>
      <c r="Q177" s="2" t="s">
        <v>1512</v>
      </c>
    </row>
    <row r="178">
      <c r="A178" s="2"/>
      <c r="B178" s="2" t="s">
        <v>1377</v>
      </c>
      <c r="C178" s="2" t="s">
        <v>2071</v>
      </c>
      <c r="D178" s="2" t="s">
        <v>2072</v>
      </c>
      <c r="E178" s="2">
        <v>72.0</v>
      </c>
      <c r="F178" s="2" t="s">
        <v>1495</v>
      </c>
      <c r="G178" s="2">
        <v>80.0</v>
      </c>
      <c r="H178" s="2">
        <v>620.0</v>
      </c>
      <c r="I178" s="2">
        <v>65.0</v>
      </c>
      <c r="J178" s="2" t="s">
        <v>1476</v>
      </c>
      <c r="K178" s="2">
        <v>58.0</v>
      </c>
      <c r="L178" s="2" t="s">
        <v>1562</v>
      </c>
      <c r="M178" s="12">
        <f>+33</f>
        <v>33</v>
      </c>
      <c r="N178" s="2">
        <v>-55.0</v>
      </c>
      <c r="O178" s="12">
        <f>+23</f>
        <v>23</v>
      </c>
      <c r="P178" s="2" t="s">
        <v>2073</v>
      </c>
      <c r="Q178" s="2" t="s">
        <v>1479</v>
      </c>
    </row>
    <row r="179">
      <c r="A179" s="2"/>
      <c r="B179" s="2" t="s">
        <v>2074</v>
      </c>
      <c r="C179" s="2" t="s">
        <v>1967</v>
      </c>
      <c r="D179" s="2" t="s">
        <v>1968</v>
      </c>
      <c r="E179" s="2">
        <v>69.0</v>
      </c>
      <c r="F179" s="2" t="s">
        <v>1476</v>
      </c>
      <c r="G179" s="2">
        <v>76.0</v>
      </c>
      <c r="H179" s="2">
        <v>480.0</v>
      </c>
      <c r="I179" s="2">
        <v>61.0</v>
      </c>
      <c r="J179" s="2" t="s">
        <v>1483</v>
      </c>
      <c r="K179" s="2">
        <v>55.0</v>
      </c>
      <c r="L179" s="2" t="s">
        <v>1530</v>
      </c>
      <c r="M179" s="12">
        <f t="shared" ref="M179:M180" si="6">+32</f>
        <v>32</v>
      </c>
      <c r="N179" s="2">
        <v>-52.0</v>
      </c>
      <c r="O179" s="12">
        <f>+21</f>
        <v>21</v>
      </c>
      <c r="P179" s="2" t="s">
        <v>2075</v>
      </c>
      <c r="Q179" s="2" t="s">
        <v>1473</v>
      </c>
    </row>
    <row r="180">
      <c r="A180" s="2"/>
      <c r="B180" s="2" t="s">
        <v>1386</v>
      </c>
      <c r="C180" s="2" t="s">
        <v>2076</v>
      </c>
      <c r="D180" s="2" t="s">
        <v>2077</v>
      </c>
      <c r="E180" s="2">
        <v>74.0</v>
      </c>
      <c r="F180" s="2" t="s">
        <v>1449</v>
      </c>
      <c r="G180" s="2">
        <v>82.0</v>
      </c>
      <c r="H180" s="2">
        <v>700.0</v>
      </c>
      <c r="I180" s="2">
        <v>67.0</v>
      </c>
      <c r="J180" s="2" t="s">
        <v>1482</v>
      </c>
      <c r="K180" s="2">
        <v>60.0</v>
      </c>
      <c r="L180" s="2" t="s">
        <v>1558</v>
      </c>
      <c r="M180" s="12">
        <f t="shared" si="6"/>
        <v>32</v>
      </c>
      <c r="N180" s="2">
        <v>-55.0</v>
      </c>
      <c r="O180" s="12">
        <f>+23</f>
        <v>23</v>
      </c>
      <c r="P180" s="2" t="s">
        <v>2078</v>
      </c>
      <c r="Q180" s="2" t="s">
        <v>1816</v>
      </c>
    </row>
    <row r="181">
      <c r="A181" s="2"/>
      <c r="B181" s="2" t="s">
        <v>2079</v>
      </c>
      <c r="C181" s="2" t="s">
        <v>2080</v>
      </c>
      <c r="D181" s="2" t="s">
        <v>2081</v>
      </c>
      <c r="E181" s="2">
        <v>76.0</v>
      </c>
      <c r="F181" s="2" t="s">
        <v>1470</v>
      </c>
      <c r="G181" s="2">
        <v>83.0</v>
      </c>
      <c r="H181" s="2">
        <v>740.0</v>
      </c>
      <c r="I181" s="2">
        <v>69.0</v>
      </c>
      <c r="J181" s="2" t="s">
        <v>1495</v>
      </c>
      <c r="K181" s="2">
        <v>62.0</v>
      </c>
      <c r="L181" s="2" t="s">
        <v>1657</v>
      </c>
      <c r="M181" s="12">
        <f>+36</f>
        <v>36</v>
      </c>
      <c r="N181" s="2">
        <v>-57.0</v>
      </c>
      <c r="O181" s="12">
        <f>+25</f>
        <v>25</v>
      </c>
      <c r="P181" s="2" t="s">
        <v>2082</v>
      </c>
      <c r="Q181" s="2" t="s">
        <v>1459</v>
      </c>
    </row>
    <row r="182">
      <c r="A182" s="2"/>
      <c r="B182" s="2" t="s">
        <v>1395</v>
      </c>
      <c r="C182" s="2" t="s">
        <v>2083</v>
      </c>
      <c r="D182" s="2" t="s">
        <v>2084</v>
      </c>
      <c r="E182" s="2">
        <v>85.0</v>
      </c>
      <c r="F182" s="2" t="s">
        <v>2085</v>
      </c>
      <c r="G182" s="2">
        <v>90.0</v>
      </c>
      <c r="H182" s="2" t="s">
        <v>1700</v>
      </c>
      <c r="I182" s="2">
        <v>78.0</v>
      </c>
      <c r="J182" s="2" t="s">
        <v>1462</v>
      </c>
      <c r="K182" s="2">
        <v>70.0</v>
      </c>
      <c r="L182" s="2" t="s">
        <v>1623</v>
      </c>
      <c r="M182" s="12">
        <f>+42</f>
        <v>42</v>
      </c>
      <c r="N182" s="2">
        <v>-65.0</v>
      </c>
      <c r="O182" s="12">
        <f>+29</f>
        <v>29</v>
      </c>
      <c r="P182" s="2" t="s">
        <v>2086</v>
      </c>
      <c r="Q182" s="2" t="s">
        <v>1506</v>
      </c>
    </row>
    <row r="183">
      <c r="A183" s="2"/>
      <c r="B183" s="2" t="s">
        <v>2087</v>
      </c>
      <c r="C183" s="2" t="s">
        <v>2088</v>
      </c>
      <c r="D183" s="2" t="s">
        <v>2089</v>
      </c>
      <c r="E183" s="2">
        <v>78.0</v>
      </c>
      <c r="F183" s="2" t="s">
        <v>1520</v>
      </c>
      <c r="G183" s="2">
        <v>85.0</v>
      </c>
      <c r="H183" s="2">
        <v>900.0</v>
      </c>
      <c r="I183" s="2">
        <v>72.0</v>
      </c>
      <c r="J183" s="2" t="s">
        <v>1449</v>
      </c>
      <c r="K183" s="2">
        <v>65.0</v>
      </c>
      <c r="L183" s="2" t="s">
        <v>1610</v>
      </c>
      <c r="M183" s="12">
        <f>+35</f>
        <v>35</v>
      </c>
      <c r="N183" s="2">
        <v>-59.0</v>
      </c>
      <c r="O183" s="12">
        <f>+26</f>
        <v>26</v>
      </c>
      <c r="P183" s="2" t="s">
        <v>2090</v>
      </c>
      <c r="Q183" s="2" t="s">
        <v>1459</v>
      </c>
    </row>
    <row r="184">
      <c r="A184" s="2"/>
      <c r="B184" s="2" t="s">
        <v>2091</v>
      </c>
      <c r="C184" s="2" t="s">
        <v>2092</v>
      </c>
      <c r="D184" s="2" t="s">
        <v>2093</v>
      </c>
      <c r="E184" s="2">
        <v>71.0</v>
      </c>
      <c r="F184" s="2" t="s">
        <v>1463</v>
      </c>
      <c r="G184" s="2">
        <v>79.0</v>
      </c>
      <c r="H184" s="2">
        <v>620.0</v>
      </c>
      <c r="I184" s="2">
        <v>64.0</v>
      </c>
      <c r="J184" s="2" t="s">
        <v>1489</v>
      </c>
      <c r="K184" s="2">
        <v>57.0</v>
      </c>
      <c r="L184" s="2" t="s">
        <v>1543</v>
      </c>
      <c r="M184" s="12">
        <f>+33</f>
        <v>33</v>
      </c>
      <c r="N184" s="2">
        <v>-53.0</v>
      </c>
      <c r="O184" s="12">
        <f>+22</f>
        <v>22</v>
      </c>
      <c r="P184" s="2" t="s">
        <v>2094</v>
      </c>
      <c r="Q184" s="2" t="s">
        <v>1459</v>
      </c>
    </row>
    <row r="185">
      <c r="A185" s="2"/>
      <c r="B185" s="2" t="s">
        <v>2095</v>
      </c>
      <c r="C185" s="2" t="s">
        <v>2096</v>
      </c>
      <c r="D185" s="2" t="s">
        <v>2097</v>
      </c>
      <c r="E185" s="2">
        <v>74.0</v>
      </c>
      <c r="F185" s="2" t="s">
        <v>1449</v>
      </c>
      <c r="G185" s="2">
        <v>81.0</v>
      </c>
      <c r="H185" s="2">
        <v>700.0</v>
      </c>
      <c r="I185" s="2">
        <v>66.0</v>
      </c>
      <c r="J185" s="2" t="s">
        <v>1482</v>
      </c>
      <c r="K185" s="2">
        <v>59.0</v>
      </c>
      <c r="L185" s="2" t="s">
        <v>1558</v>
      </c>
      <c r="M185" s="12">
        <f>+34</f>
        <v>34</v>
      </c>
      <c r="N185" s="2">
        <v>-56.0</v>
      </c>
      <c r="O185" s="12">
        <f>+23</f>
        <v>23</v>
      </c>
      <c r="P185" s="2" t="s">
        <v>2098</v>
      </c>
      <c r="Q185" s="2" t="s">
        <v>1549</v>
      </c>
    </row>
    <row r="186">
      <c r="A186" s="2"/>
      <c r="B186" s="2" t="s">
        <v>2099</v>
      </c>
      <c r="C186" s="2" t="s">
        <v>2100</v>
      </c>
      <c r="D186" s="2" t="s">
        <v>2101</v>
      </c>
      <c r="E186" s="2">
        <v>77.0</v>
      </c>
      <c r="F186" s="2" t="s">
        <v>1609</v>
      </c>
      <c r="G186" s="2">
        <v>84.0</v>
      </c>
      <c r="H186" s="2">
        <v>820.0</v>
      </c>
      <c r="I186" s="2">
        <v>70.0</v>
      </c>
      <c r="J186" s="2" t="s">
        <v>1495</v>
      </c>
      <c r="K186" s="2">
        <v>63.0</v>
      </c>
      <c r="L186" s="2" t="s">
        <v>1610</v>
      </c>
      <c r="M186" s="12">
        <f>+36</f>
        <v>36</v>
      </c>
      <c r="N186" s="2">
        <v>-57.0</v>
      </c>
      <c r="O186" s="12">
        <f>+25</f>
        <v>25</v>
      </c>
      <c r="P186" s="2" t="s">
        <v>2102</v>
      </c>
      <c r="Q186" s="2" t="s">
        <v>1459</v>
      </c>
    </row>
    <row r="187">
      <c r="A187" s="2"/>
      <c r="B187" s="2" t="s">
        <v>1404</v>
      </c>
      <c r="C187" s="2" t="s">
        <v>2103</v>
      </c>
      <c r="D187" s="2" t="s">
        <v>2104</v>
      </c>
      <c r="E187" s="2">
        <v>78.0</v>
      </c>
      <c r="F187" s="2" t="s">
        <v>1515</v>
      </c>
      <c r="G187" s="2">
        <v>85.0</v>
      </c>
      <c r="H187" s="2">
        <v>880.0</v>
      </c>
      <c r="I187" s="2">
        <v>71.0</v>
      </c>
      <c r="J187" s="2" t="s">
        <v>1456</v>
      </c>
      <c r="K187" s="2">
        <v>64.0</v>
      </c>
      <c r="L187" s="2" t="s">
        <v>2105</v>
      </c>
      <c r="M187" s="12">
        <f>+38</f>
        <v>38</v>
      </c>
      <c r="N187" s="2">
        <v>-58.0</v>
      </c>
      <c r="O187" s="12">
        <f>+26</f>
        <v>26</v>
      </c>
      <c r="P187" s="2" t="s">
        <v>2106</v>
      </c>
      <c r="Q187" s="2" t="s">
        <v>1459</v>
      </c>
    </row>
    <row r="188">
      <c r="A188" s="2"/>
      <c r="B188" s="2" t="s">
        <v>2107</v>
      </c>
      <c r="C188" s="2" t="s">
        <v>2108</v>
      </c>
      <c r="D188" s="2" t="s">
        <v>2109</v>
      </c>
      <c r="E188" s="2">
        <v>69.0</v>
      </c>
      <c r="F188" s="2" t="s">
        <v>1476</v>
      </c>
      <c r="G188" s="2">
        <v>76.0</v>
      </c>
      <c r="H188" s="2">
        <v>480.0</v>
      </c>
      <c r="I188" s="2">
        <v>61.0</v>
      </c>
      <c r="J188" s="2" t="s">
        <v>1483</v>
      </c>
      <c r="K188" s="2">
        <v>55.0</v>
      </c>
      <c r="L188" s="2" t="s">
        <v>1530</v>
      </c>
      <c r="M188" s="12">
        <f>+31</f>
        <v>31</v>
      </c>
      <c r="N188" s="2">
        <v>-52.0</v>
      </c>
      <c r="O188" s="12">
        <f>+21</f>
        <v>21</v>
      </c>
      <c r="P188" s="2" t="s">
        <v>2110</v>
      </c>
      <c r="Q188" s="2" t="s">
        <v>1473</v>
      </c>
    </row>
    <row r="189">
      <c r="A189" s="2"/>
      <c r="B189" s="2" t="s">
        <v>2111</v>
      </c>
      <c r="C189" s="2" t="s">
        <v>2112</v>
      </c>
      <c r="D189" s="2" t="s">
        <v>2113</v>
      </c>
      <c r="E189" s="2">
        <v>73.0</v>
      </c>
      <c r="F189" s="2" t="s">
        <v>1449</v>
      </c>
      <c r="G189" s="2">
        <v>81.0</v>
      </c>
      <c r="H189" s="2">
        <v>680.0</v>
      </c>
      <c r="I189" s="2">
        <v>66.0</v>
      </c>
      <c r="J189" s="2" t="s">
        <v>1476</v>
      </c>
      <c r="K189" s="2">
        <v>59.0</v>
      </c>
      <c r="L189" s="2" t="s">
        <v>1558</v>
      </c>
      <c r="M189" s="12">
        <f>+35</f>
        <v>35</v>
      </c>
      <c r="N189" s="2">
        <v>-55.0</v>
      </c>
      <c r="O189" s="12">
        <f>+24</f>
        <v>24</v>
      </c>
      <c r="P189" s="2" t="s">
        <v>2114</v>
      </c>
      <c r="Q189" s="2" t="s">
        <v>1479</v>
      </c>
    </row>
    <row r="190">
      <c r="A190" s="2"/>
      <c r="B190" s="2" t="s">
        <v>1413</v>
      </c>
      <c r="C190" s="2" t="s">
        <v>2115</v>
      </c>
      <c r="D190" s="2" t="s">
        <v>2116</v>
      </c>
      <c r="E190" s="2">
        <v>70.0</v>
      </c>
      <c r="F190" s="2" t="s">
        <v>1482</v>
      </c>
      <c r="G190" s="2">
        <v>78.0</v>
      </c>
      <c r="H190" s="2">
        <v>520.0</v>
      </c>
      <c r="I190" s="2">
        <v>63.0</v>
      </c>
      <c r="J190" s="2" t="s">
        <v>1483</v>
      </c>
      <c r="K190" s="2">
        <v>56.0</v>
      </c>
      <c r="L190" s="2" t="s">
        <v>1573</v>
      </c>
      <c r="M190" s="12">
        <f>+33</f>
        <v>33</v>
      </c>
      <c r="N190" s="2">
        <v>-52.0</v>
      </c>
      <c r="O190" s="12">
        <f>+22</f>
        <v>22</v>
      </c>
      <c r="P190" s="2" t="s">
        <v>2117</v>
      </c>
      <c r="Q190" s="2" t="s">
        <v>1473</v>
      </c>
    </row>
    <row r="191">
      <c r="A191" s="2"/>
      <c r="B191" s="2" t="s">
        <v>1421</v>
      </c>
      <c r="C191" s="2" t="s">
        <v>2118</v>
      </c>
      <c r="D191" s="2" t="s">
        <v>2119</v>
      </c>
      <c r="E191" s="2">
        <v>72.0</v>
      </c>
      <c r="F191" s="2" t="s">
        <v>1495</v>
      </c>
      <c r="G191" s="2">
        <v>80.0</v>
      </c>
      <c r="H191" s="2">
        <v>640.0</v>
      </c>
      <c r="I191" s="2">
        <v>65.0</v>
      </c>
      <c r="J191" s="2" t="s">
        <v>1476</v>
      </c>
      <c r="K191" s="2">
        <v>58.0</v>
      </c>
      <c r="L191" s="2" t="s">
        <v>1566</v>
      </c>
      <c r="M191" s="12">
        <f>+34</f>
        <v>34</v>
      </c>
      <c r="N191" s="2">
        <v>-54.0</v>
      </c>
      <c r="O191" s="12">
        <f>+23</f>
        <v>23</v>
      </c>
      <c r="P191" s="2" t="s">
        <v>2120</v>
      </c>
      <c r="Q191" s="2" t="s">
        <v>1459</v>
      </c>
    </row>
    <row r="192">
      <c r="A192" s="2"/>
      <c r="B192" s="2" t="s">
        <v>2121</v>
      </c>
      <c r="C192" s="2" t="s">
        <v>2122</v>
      </c>
      <c r="D192" s="2" t="s">
        <v>2123</v>
      </c>
      <c r="E192" s="2">
        <v>75.6</v>
      </c>
      <c r="F192" s="2">
        <v>2.05</v>
      </c>
      <c r="G192" s="2">
        <v>82.1</v>
      </c>
      <c r="H192" s="2">
        <v>760.0</v>
      </c>
      <c r="I192" s="2">
        <v>68.3</v>
      </c>
      <c r="J192" s="2">
        <v>1.55</v>
      </c>
      <c r="K192" s="2">
        <v>61.4</v>
      </c>
      <c r="L192" s="2">
        <v>107000.0</v>
      </c>
      <c r="M192" s="12">
        <f>+35.2</f>
        <v>35.2</v>
      </c>
      <c r="N192" s="2">
        <v>-55.8</v>
      </c>
      <c r="O192" s="12">
        <f>+24.5</f>
        <v>24.5</v>
      </c>
      <c r="P192" s="2" t="s">
        <v>2124</v>
      </c>
      <c r="Q192" s="2" t="s">
        <v>2125</v>
      </c>
    </row>
    <row r="194">
      <c r="A194" s="2"/>
      <c r="B194" s="2" t="s">
        <v>2126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13"/>
      <c r="B2" s="13" t="s">
        <v>2127</v>
      </c>
      <c r="C2" s="13" t="s">
        <v>2128</v>
      </c>
      <c r="D2" s="13" t="s">
        <v>2129</v>
      </c>
      <c r="E2" s="13" t="s">
        <v>2130</v>
      </c>
      <c r="F2" s="13" t="s">
        <v>2131</v>
      </c>
      <c r="G2" s="13" t="s">
        <v>2132</v>
      </c>
      <c r="H2" s="13" t="s">
        <v>2133</v>
      </c>
      <c r="I2" s="13" t="s">
        <v>2134</v>
      </c>
      <c r="J2" s="13" t="s">
        <v>2135</v>
      </c>
    </row>
    <row r="3">
      <c r="A3" s="1"/>
      <c r="B3" s="1" t="s">
        <v>11</v>
      </c>
      <c r="C3" s="1" t="s">
        <v>2136</v>
      </c>
      <c r="D3" s="1" t="s">
        <v>2137</v>
      </c>
      <c r="E3" s="1" t="s">
        <v>2138</v>
      </c>
      <c r="F3" s="1" t="s">
        <v>2139</v>
      </c>
      <c r="G3" s="1" t="s">
        <v>2140</v>
      </c>
      <c r="H3" s="1">
        <v>4.0</v>
      </c>
      <c r="I3" s="1" t="s">
        <v>2141</v>
      </c>
      <c r="J3" s="1" t="s">
        <v>2142</v>
      </c>
    </row>
    <row r="4">
      <c r="A4" s="1"/>
      <c r="B4" s="1" t="s">
        <v>20</v>
      </c>
      <c r="C4" s="1" t="s">
        <v>2143</v>
      </c>
      <c r="D4" s="1" t="s">
        <v>2144</v>
      </c>
      <c r="E4" s="1" t="s">
        <v>2145</v>
      </c>
      <c r="F4" s="1" t="s">
        <v>2146</v>
      </c>
      <c r="G4" s="1" t="s">
        <v>2147</v>
      </c>
      <c r="H4" s="1">
        <v>6.0</v>
      </c>
      <c r="I4" s="1" t="s">
        <v>2148</v>
      </c>
      <c r="J4" s="1" t="s">
        <v>2149</v>
      </c>
    </row>
    <row r="5">
      <c r="A5" s="1"/>
      <c r="B5" s="1" t="s">
        <v>29</v>
      </c>
      <c r="C5" s="1" t="s">
        <v>2150</v>
      </c>
      <c r="D5" s="1" t="s">
        <v>2151</v>
      </c>
      <c r="E5" s="1" t="s">
        <v>2152</v>
      </c>
      <c r="F5" s="1" t="s">
        <v>2153</v>
      </c>
      <c r="G5" s="1" t="s">
        <v>2154</v>
      </c>
      <c r="H5" s="1">
        <v>8.0</v>
      </c>
      <c r="I5" s="1" t="s">
        <v>2155</v>
      </c>
      <c r="J5" s="1" t="s">
        <v>2156</v>
      </c>
    </row>
    <row r="6">
      <c r="A6" s="1"/>
      <c r="B6" s="1" t="s">
        <v>38</v>
      </c>
      <c r="C6" s="1" t="s">
        <v>2157</v>
      </c>
      <c r="D6" s="1" t="s">
        <v>2158</v>
      </c>
      <c r="E6" s="1" t="s">
        <v>2159</v>
      </c>
      <c r="F6" s="1" t="s">
        <v>2160</v>
      </c>
      <c r="G6" s="1" t="s">
        <v>2161</v>
      </c>
      <c r="H6" s="1">
        <v>10.0</v>
      </c>
      <c r="I6" s="1" t="s">
        <v>2162</v>
      </c>
      <c r="J6" s="1" t="s">
        <v>2163</v>
      </c>
    </row>
    <row r="7">
      <c r="A7" s="1"/>
      <c r="B7" s="1" t="s">
        <v>47</v>
      </c>
      <c r="C7" s="1" t="s">
        <v>2164</v>
      </c>
      <c r="D7" s="1" t="s">
        <v>2165</v>
      </c>
      <c r="E7" s="1" t="s">
        <v>2166</v>
      </c>
      <c r="F7" s="1" t="s">
        <v>2167</v>
      </c>
      <c r="G7" s="1" t="s">
        <v>2168</v>
      </c>
      <c r="H7" s="1">
        <v>4.0</v>
      </c>
      <c r="I7" s="1" t="s">
        <v>2169</v>
      </c>
      <c r="J7" s="1" t="s">
        <v>2170</v>
      </c>
    </row>
    <row r="8">
      <c r="A8" s="1"/>
      <c r="B8" s="1" t="s">
        <v>56</v>
      </c>
      <c r="C8" s="1" t="s">
        <v>2171</v>
      </c>
      <c r="D8" s="1" t="s">
        <v>2172</v>
      </c>
      <c r="E8" s="1" t="s">
        <v>2173</v>
      </c>
      <c r="F8" s="1" t="s">
        <v>2174</v>
      </c>
      <c r="G8" s="1" t="s">
        <v>2140</v>
      </c>
      <c r="H8" s="1">
        <v>12.0</v>
      </c>
      <c r="I8" s="1" t="s">
        <v>2175</v>
      </c>
      <c r="J8" s="1" t="s">
        <v>2176</v>
      </c>
    </row>
    <row r="9">
      <c r="A9" s="1"/>
      <c r="B9" s="1" t="s">
        <v>1486</v>
      </c>
      <c r="C9" s="1" t="s">
        <v>2177</v>
      </c>
      <c r="D9" s="1" t="s">
        <v>2178</v>
      </c>
      <c r="E9" s="1" t="s">
        <v>2179</v>
      </c>
      <c r="F9" s="1" t="s">
        <v>2180</v>
      </c>
      <c r="G9" s="1" t="s">
        <v>2161</v>
      </c>
      <c r="H9" s="1">
        <v>8.0</v>
      </c>
      <c r="I9" s="1" t="s">
        <v>2181</v>
      </c>
      <c r="J9" s="1" t="s">
        <v>2182</v>
      </c>
      <c r="K9" s="11"/>
      <c r="L9" s="11"/>
    </row>
    <row r="10">
      <c r="A10" s="1"/>
      <c r="B10" s="1" t="s">
        <v>74</v>
      </c>
      <c r="C10" s="1" t="s">
        <v>2183</v>
      </c>
      <c r="D10" s="1" t="s">
        <v>2184</v>
      </c>
      <c r="E10" s="1" t="s">
        <v>2185</v>
      </c>
      <c r="F10" s="1" t="s">
        <v>2186</v>
      </c>
      <c r="G10" s="1" t="s">
        <v>2187</v>
      </c>
      <c r="H10" s="1">
        <v>12.0</v>
      </c>
      <c r="I10" s="1" t="s">
        <v>2188</v>
      </c>
      <c r="J10" s="1" t="s">
        <v>2189</v>
      </c>
    </row>
    <row r="11">
      <c r="A11" s="1"/>
      <c r="B11" s="1" t="s">
        <v>83</v>
      </c>
      <c r="C11" s="1" t="s">
        <v>2190</v>
      </c>
      <c r="D11" s="1" t="s">
        <v>2191</v>
      </c>
      <c r="E11" s="1" t="s">
        <v>2192</v>
      </c>
      <c r="F11" s="1" t="s">
        <v>2193</v>
      </c>
      <c r="G11" s="1" t="s">
        <v>2154</v>
      </c>
      <c r="H11" s="1">
        <v>12.0</v>
      </c>
      <c r="I11" s="1" t="s">
        <v>2194</v>
      </c>
      <c r="J11" s="1" t="s">
        <v>2195</v>
      </c>
    </row>
    <row r="12">
      <c r="A12" s="1"/>
      <c r="B12" s="1" t="s">
        <v>92</v>
      </c>
      <c r="C12" s="1" t="s">
        <v>2196</v>
      </c>
      <c r="D12" s="1" t="s">
        <v>2197</v>
      </c>
      <c r="E12" s="1" t="s">
        <v>2198</v>
      </c>
      <c r="F12" s="1" t="s">
        <v>2199</v>
      </c>
      <c r="G12" s="1" t="s">
        <v>2147</v>
      </c>
      <c r="H12" s="1">
        <v>10.0</v>
      </c>
      <c r="I12" s="1" t="s">
        <v>2200</v>
      </c>
      <c r="J12" s="1" t="s">
        <v>2201</v>
      </c>
    </row>
    <row r="13">
      <c r="A13" s="1"/>
      <c r="B13" s="1" t="s">
        <v>101</v>
      </c>
      <c r="C13" s="1" t="s">
        <v>2202</v>
      </c>
      <c r="D13" s="1" t="s">
        <v>2203</v>
      </c>
      <c r="E13" s="1" t="s">
        <v>2204</v>
      </c>
      <c r="F13" s="1" t="s">
        <v>2205</v>
      </c>
      <c r="G13" s="1" t="s">
        <v>2187</v>
      </c>
      <c r="H13" s="1">
        <v>12.0</v>
      </c>
      <c r="I13" s="1" t="s">
        <v>2206</v>
      </c>
      <c r="J13" s="1" t="s">
        <v>2207</v>
      </c>
    </row>
    <row r="14">
      <c r="A14" s="1"/>
      <c r="B14" s="1" t="s">
        <v>110</v>
      </c>
      <c r="C14" s="1" t="s">
        <v>2208</v>
      </c>
      <c r="D14" s="1" t="s">
        <v>2209</v>
      </c>
      <c r="E14" s="1" t="s">
        <v>2210</v>
      </c>
      <c r="F14" s="1" t="s">
        <v>2211</v>
      </c>
      <c r="G14" s="1" t="s">
        <v>2212</v>
      </c>
      <c r="H14" s="1">
        <v>16.0</v>
      </c>
      <c r="I14" s="1" t="s">
        <v>2213</v>
      </c>
      <c r="J14" s="1" t="s">
        <v>2214</v>
      </c>
    </row>
    <row r="15">
      <c r="A15" s="1"/>
      <c r="B15" s="1" t="s">
        <v>119</v>
      </c>
      <c r="C15" s="1" t="s">
        <v>2215</v>
      </c>
      <c r="D15" s="1" t="s">
        <v>2216</v>
      </c>
      <c r="E15" s="1" t="s">
        <v>2217</v>
      </c>
      <c r="F15" s="1" t="s">
        <v>2218</v>
      </c>
      <c r="G15" s="1" t="s">
        <v>2147</v>
      </c>
      <c r="H15" s="1">
        <v>8.0</v>
      </c>
      <c r="I15" s="1" t="s">
        <v>2219</v>
      </c>
      <c r="J15" s="1" t="s">
        <v>2220</v>
      </c>
    </row>
    <row r="16">
      <c r="A16" s="1"/>
      <c r="B16" s="1" t="s">
        <v>128</v>
      </c>
      <c r="C16" s="1" t="s">
        <v>2221</v>
      </c>
      <c r="D16" s="1" t="s">
        <v>2222</v>
      </c>
      <c r="E16" s="1" t="s">
        <v>2223</v>
      </c>
      <c r="F16" s="1" t="s">
        <v>2224</v>
      </c>
      <c r="G16" s="1" t="s">
        <v>2154</v>
      </c>
      <c r="H16" s="1">
        <v>15.0</v>
      </c>
      <c r="I16" s="1" t="s">
        <v>2225</v>
      </c>
      <c r="J16" s="1" t="s">
        <v>2226</v>
      </c>
    </row>
    <row r="17">
      <c r="A17" s="1"/>
      <c r="B17" s="1" t="s">
        <v>137</v>
      </c>
      <c r="C17" s="1" t="s">
        <v>2227</v>
      </c>
      <c r="D17" s="1" t="s">
        <v>2228</v>
      </c>
      <c r="E17" s="1" t="s">
        <v>2229</v>
      </c>
      <c r="F17" s="1" t="s">
        <v>2230</v>
      </c>
      <c r="G17" s="1" t="s">
        <v>2154</v>
      </c>
      <c r="H17" s="1">
        <v>8.0</v>
      </c>
      <c r="I17" s="1" t="s">
        <v>2231</v>
      </c>
      <c r="J17" s="1" t="s">
        <v>2232</v>
      </c>
      <c r="K17" s="10"/>
      <c r="L17" s="10"/>
      <c r="M17" s="10"/>
    </row>
    <row r="18">
      <c r="A18" s="1"/>
      <c r="B18" s="1" t="s">
        <v>146</v>
      </c>
      <c r="C18" s="1" t="s">
        <v>2233</v>
      </c>
      <c r="D18" s="1" t="s">
        <v>2234</v>
      </c>
      <c r="E18" s="1" t="s">
        <v>2235</v>
      </c>
      <c r="F18" s="1" t="s">
        <v>2236</v>
      </c>
      <c r="G18" s="1" t="s">
        <v>2147</v>
      </c>
      <c r="H18" s="1">
        <v>10.0</v>
      </c>
      <c r="I18" s="1" t="s">
        <v>2237</v>
      </c>
      <c r="J18" s="1" t="s">
        <v>2238</v>
      </c>
      <c r="K18" s="10"/>
      <c r="L18" s="10"/>
      <c r="M18" s="10"/>
    </row>
    <row r="19">
      <c r="A19" s="1"/>
      <c r="B19" s="1" t="s">
        <v>155</v>
      </c>
      <c r="C19" s="1" t="s">
        <v>2239</v>
      </c>
      <c r="D19" s="1" t="s">
        <v>2240</v>
      </c>
      <c r="E19" s="1" t="s">
        <v>2241</v>
      </c>
      <c r="F19" s="1" t="s">
        <v>2242</v>
      </c>
      <c r="G19" s="1" t="s">
        <v>2243</v>
      </c>
      <c r="H19" s="1">
        <v>6.0</v>
      </c>
      <c r="I19" s="1" t="s">
        <v>2244</v>
      </c>
      <c r="J19" s="1" t="s">
        <v>2245</v>
      </c>
      <c r="K19" s="10"/>
      <c r="L19" s="10"/>
      <c r="M19" s="10"/>
    </row>
    <row r="20">
      <c r="A20" s="1"/>
      <c r="B20" s="1" t="s">
        <v>164</v>
      </c>
      <c r="C20" s="1" t="s">
        <v>2246</v>
      </c>
      <c r="D20" s="1" t="s">
        <v>2247</v>
      </c>
      <c r="E20" s="1" t="s">
        <v>2248</v>
      </c>
      <c r="F20" s="1" t="s">
        <v>2249</v>
      </c>
      <c r="G20" s="1" t="s">
        <v>2154</v>
      </c>
      <c r="H20" s="1">
        <v>8.0</v>
      </c>
      <c r="I20" s="1" t="s">
        <v>2250</v>
      </c>
      <c r="J20" s="1" t="s">
        <v>2251</v>
      </c>
      <c r="K20" s="10"/>
      <c r="L20" s="10"/>
      <c r="M20" s="10"/>
    </row>
    <row r="21">
      <c r="A21" s="1"/>
      <c r="B21" s="1" t="s">
        <v>2252</v>
      </c>
      <c r="C21" s="1" t="s">
        <v>2253</v>
      </c>
      <c r="D21" s="1" t="s">
        <v>2254</v>
      </c>
      <c r="E21" s="1" t="s">
        <v>2255</v>
      </c>
      <c r="F21" s="1" t="s">
        <v>2256</v>
      </c>
      <c r="G21" s="1" t="s">
        <v>2257</v>
      </c>
      <c r="H21" s="1">
        <v>6.0</v>
      </c>
      <c r="I21" s="1" t="s">
        <v>2258</v>
      </c>
      <c r="J21" s="1" t="s">
        <v>2259</v>
      </c>
      <c r="K21" s="10"/>
      <c r="L21" s="10"/>
      <c r="M21" s="10"/>
    </row>
    <row r="22">
      <c r="A22" s="1"/>
      <c r="B22" s="1" t="s">
        <v>182</v>
      </c>
      <c r="C22" s="1" t="s">
        <v>2260</v>
      </c>
      <c r="D22" s="1" t="s">
        <v>2261</v>
      </c>
      <c r="E22" s="1" t="s">
        <v>2262</v>
      </c>
      <c r="F22" s="1" t="s">
        <v>2263</v>
      </c>
      <c r="G22" s="1" t="s">
        <v>2187</v>
      </c>
      <c r="H22" s="1">
        <v>8.0</v>
      </c>
      <c r="I22" s="1" t="s">
        <v>2264</v>
      </c>
      <c r="J22" s="1" t="s">
        <v>2265</v>
      </c>
      <c r="K22" s="10"/>
      <c r="L22" s="10"/>
      <c r="M22" s="10"/>
    </row>
    <row r="23">
      <c r="A23" s="1"/>
      <c r="B23" s="1" t="s">
        <v>191</v>
      </c>
      <c r="C23" s="1" t="s">
        <v>2266</v>
      </c>
      <c r="D23" s="1" t="s">
        <v>2267</v>
      </c>
      <c r="E23" s="1" t="s">
        <v>2268</v>
      </c>
      <c r="F23" s="1" t="s">
        <v>2269</v>
      </c>
      <c r="G23" s="1" t="s">
        <v>2154</v>
      </c>
      <c r="H23" s="1">
        <v>10.0</v>
      </c>
      <c r="I23" s="1" t="s">
        <v>2270</v>
      </c>
      <c r="J23" s="1" t="s">
        <v>2271</v>
      </c>
      <c r="K23" s="10"/>
      <c r="L23" s="10"/>
      <c r="M23" s="10"/>
    </row>
    <row r="24">
      <c r="A24" s="1"/>
      <c r="B24" s="1" t="s">
        <v>2272</v>
      </c>
      <c r="C24" s="1" t="s">
        <v>2273</v>
      </c>
      <c r="D24" s="1" t="s">
        <v>2274</v>
      </c>
      <c r="E24" s="1" t="s">
        <v>2275</v>
      </c>
      <c r="F24" s="1" t="s">
        <v>2276</v>
      </c>
      <c r="G24" s="1" t="s">
        <v>2147</v>
      </c>
      <c r="H24" s="1">
        <v>6.0</v>
      </c>
      <c r="I24" s="1" t="s">
        <v>2277</v>
      </c>
      <c r="J24" s="1" t="s">
        <v>2278</v>
      </c>
      <c r="K24" s="10"/>
      <c r="L24" s="10"/>
      <c r="M24" s="10"/>
    </row>
    <row r="25">
      <c r="A25" s="1"/>
      <c r="B25" s="1" t="s">
        <v>217</v>
      </c>
      <c r="C25" s="1" t="s">
        <v>2279</v>
      </c>
      <c r="D25" s="1" t="s">
        <v>2280</v>
      </c>
      <c r="E25" s="1" t="s">
        <v>2281</v>
      </c>
      <c r="F25" s="1" t="s">
        <v>2282</v>
      </c>
      <c r="G25" s="1" t="s">
        <v>2187</v>
      </c>
      <c r="H25" s="1">
        <v>12.0</v>
      </c>
      <c r="I25" s="1" t="s">
        <v>2283</v>
      </c>
      <c r="J25" s="1" t="s">
        <v>2284</v>
      </c>
      <c r="K25" s="10"/>
      <c r="L25" s="10"/>
      <c r="M25" s="10"/>
    </row>
    <row r="26">
      <c r="A26" s="1"/>
      <c r="B26" s="1" t="s">
        <v>226</v>
      </c>
      <c r="C26" s="1" t="s">
        <v>2285</v>
      </c>
      <c r="D26" s="1" t="s">
        <v>2286</v>
      </c>
      <c r="E26" s="1" t="s">
        <v>2287</v>
      </c>
      <c r="F26" s="1" t="s">
        <v>2288</v>
      </c>
      <c r="G26" s="1" t="s">
        <v>2212</v>
      </c>
      <c r="H26" s="1">
        <v>6.0</v>
      </c>
      <c r="I26" s="1" t="s">
        <v>2289</v>
      </c>
      <c r="J26" s="1" t="s">
        <v>2290</v>
      </c>
      <c r="K26" s="10"/>
      <c r="L26" s="10"/>
      <c r="M26" s="10"/>
    </row>
    <row r="27">
      <c r="A27" s="1"/>
      <c r="B27" s="1" t="s">
        <v>235</v>
      </c>
      <c r="C27" s="1" t="s">
        <v>2291</v>
      </c>
      <c r="D27" s="1" t="s">
        <v>2292</v>
      </c>
      <c r="E27" s="1" t="s">
        <v>2293</v>
      </c>
      <c r="F27" s="1" t="s">
        <v>2294</v>
      </c>
      <c r="G27" s="1" t="s">
        <v>2243</v>
      </c>
      <c r="H27" s="1">
        <v>4.0</v>
      </c>
      <c r="I27" s="1" t="s">
        <v>2295</v>
      </c>
      <c r="J27" s="1" t="s">
        <v>2296</v>
      </c>
      <c r="K27" s="10"/>
      <c r="L27" s="10"/>
      <c r="M27" s="10"/>
    </row>
    <row r="28">
      <c r="A28" s="1"/>
      <c r="B28" s="1" t="s">
        <v>244</v>
      </c>
      <c r="C28" s="1" t="s">
        <v>2297</v>
      </c>
      <c r="D28" s="1" t="s">
        <v>2298</v>
      </c>
      <c r="E28" s="1" t="s">
        <v>2299</v>
      </c>
      <c r="F28" s="1" t="s">
        <v>2300</v>
      </c>
      <c r="G28" s="1" t="s">
        <v>2161</v>
      </c>
      <c r="H28" s="1">
        <v>8.0</v>
      </c>
      <c r="I28" s="1" t="s">
        <v>2301</v>
      </c>
      <c r="J28" s="1" t="s">
        <v>2302</v>
      </c>
      <c r="K28" s="10"/>
      <c r="L28" s="10"/>
      <c r="M28" s="10"/>
    </row>
    <row r="29">
      <c r="A29" s="1"/>
      <c r="B29" s="1" t="s">
        <v>253</v>
      </c>
      <c r="C29" s="1" t="s">
        <v>2303</v>
      </c>
      <c r="D29" s="1" t="s">
        <v>2304</v>
      </c>
      <c r="E29" s="1" t="s">
        <v>2305</v>
      </c>
      <c r="F29" s="1" t="s">
        <v>2306</v>
      </c>
      <c r="G29" s="1" t="s">
        <v>2307</v>
      </c>
      <c r="H29" s="1">
        <v>10.0</v>
      </c>
      <c r="I29" s="1" t="s">
        <v>2308</v>
      </c>
      <c r="J29" s="1" t="s">
        <v>2309</v>
      </c>
      <c r="K29" s="10"/>
      <c r="L29" s="10"/>
      <c r="M29" s="10"/>
    </row>
    <row r="30">
      <c r="A30" s="1"/>
      <c r="B30" s="1" t="s">
        <v>260</v>
      </c>
      <c r="C30" s="1" t="s">
        <v>2310</v>
      </c>
      <c r="D30" s="1" t="s">
        <v>2311</v>
      </c>
      <c r="E30" s="1" t="s">
        <v>2312</v>
      </c>
      <c r="F30" s="1" t="s">
        <v>2313</v>
      </c>
      <c r="G30" s="1" t="s">
        <v>2212</v>
      </c>
      <c r="H30" s="1">
        <v>8.0</v>
      </c>
      <c r="I30" s="1" t="s">
        <v>2314</v>
      </c>
      <c r="J30" s="1" t="s">
        <v>2315</v>
      </c>
      <c r="K30" s="10"/>
      <c r="L30" s="10"/>
      <c r="M30" s="10"/>
    </row>
    <row r="31">
      <c r="A31" s="1"/>
      <c r="B31" s="1" t="s">
        <v>1587</v>
      </c>
      <c r="C31" s="1" t="s">
        <v>2316</v>
      </c>
      <c r="D31" s="1" t="s">
        <v>2317</v>
      </c>
      <c r="E31" s="1" t="s">
        <v>2318</v>
      </c>
      <c r="F31" s="1" t="s">
        <v>2319</v>
      </c>
      <c r="G31" s="1" t="s">
        <v>2147</v>
      </c>
      <c r="H31" s="1">
        <v>6.0</v>
      </c>
      <c r="I31" s="1" t="s">
        <v>2320</v>
      </c>
      <c r="J31" s="1" t="s">
        <v>2321</v>
      </c>
      <c r="K31" s="10"/>
      <c r="L31" s="10"/>
      <c r="M31" s="10"/>
    </row>
    <row r="32">
      <c r="A32" s="1"/>
      <c r="B32" s="1" t="s">
        <v>278</v>
      </c>
      <c r="C32" s="1" t="s">
        <v>2322</v>
      </c>
      <c r="D32" s="1" t="s">
        <v>2323</v>
      </c>
      <c r="E32" s="1" t="s">
        <v>2324</v>
      </c>
      <c r="F32" s="1" t="s">
        <v>2325</v>
      </c>
      <c r="G32" s="1" t="s">
        <v>2257</v>
      </c>
      <c r="H32" s="1">
        <v>12.0</v>
      </c>
      <c r="I32" s="1" t="s">
        <v>2326</v>
      </c>
      <c r="J32" s="1" t="s">
        <v>2327</v>
      </c>
      <c r="K32" s="10"/>
      <c r="L32" s="10"/>
      <c r="M32" s="10"/>
    </row>
    <row r="33">
      <c r="A33" s="1"/>
      <c r="B33" s="1" t="s">
        <v>208</v>
      </c>
      <c r="C33" s="1" t="s">
        <v>2328</v>
      </c>
      <c r="D33" s="1" t="s">
        <v>2329</v>
      </c>
      <c r="E33" s="1" t="s">
        <v>2330</v>
      </c>
      <c r="F33" s="1" t="s">
        <v>2331</v>
      </c>
      <c r="G33" s="1" t="s">
        <v>2212</v>
      </c>
      <c r="H33" s="1">
        <v>6.0</v>
      </c>
      <c r="I33" s="1" t="s">
        <v>2332</v>
      </c>
      <c r="J33" s="1" t="s">
        <v>2333</v>
      </c>
      <c r="K33" s="10"/>
      <c r="L33" s="10"/>
      <c r="M33" s="10"/>
    </row>
    <row r="34">
      <c r="A34" s="1"/>
      <c r="B34" s="1" t="s">
        <v>296</v>
      </c>
      <c r="C34" s="1" t="s">
        <v>2334</v>
      </c>
      <c r="D34" s="1" t="s">
        <v>2335</v>
      </c>
      <c r="E34" s="1" t="s">
        <v>2336</v>
      </c>
      <c r="F34" s="1" t="s">
        <v>2337</v>
      </c>
      <c r="G34" s="1" t="s">
        <v>2338</v>
      </c>
      <c r="H34" s="1">
        <v>3.0</v>
      </c>
      <c r="I34" s="1" t="s">
        <v>2339</v>
      </c>
      <c r="J34" s="1" t="s">
        <v>2340</v>
      </c>
    </row>
    <row r="35">
      <c r="A35" s="1"/>
      <c r="B35" s="1" t="s">
        <v>350</v>
      </c>
      <c r="C35" s="1" t="s">
        <v>2341</v>
      </c>
      <c r="D35" s="1" t="s">
        <v>2342</v>
      </c>
      <c r="E35" s="1" t="s">
        <v>2343</v>
      </c>
      <c r="F35" s="1" t="s">
        <v>2344</v>
      </c>
      <c r="G35" s="1" t="s">
        <v>2147</v>
      </c>
      <c r="H35" s="1">
        <v>4.0</v>
      </c>
      <c r="I35" s="1" t="s">
        <v>2345</v>
      </c>
      <c r="J35" s="1" t="s">
        <v>2346</v>
      </c>
    </row>
    <row r="36">
      <c r="A36" s="1"/>
      <c r="B36" s="1" t="s">
        <v>359</v>
      </c>
      <c r="C36" s="1" t="s">
        <v>2347</v>
      </c>
      <c r="D36" s="1" t="s">
        <v>2348</v>
      </c>
      <c r="E36" s="1" t="s">
        <v>2349</v>
      </c>
      <c r="F36" s="1" t="s">
        <v>2350</v>
      </c>
      <c r="G36" s="1" t="s">
        <v>2257</v>
      </c>
      <c r="H36" s="1">
        <v>5.0</v>
      </c>
      <c r="I36" s="1" t="s">
        <v>2351</v>
      </c>
      <c r="J36" s="1" t="s">
        <v>2352</v>
      </c>
    </row>
    <row r="37">
      <c r="A37" s="1"/>
      <c r="B37" s="1" t="s">
        <v>386</v>
      </c>
      <c r="C37" s="1" t="s">
        <v>2353</v>
      </c>
      <c r="D37" s="1" t="s">
        <v>2354</v>
      </c>
      <c r="E37" s="1" t="s">
        <v>2355</v>
      </c>
      <c r="F37" s="1" t="s">
        <v>2356</v>
      </c>
      <c r="G37" s="1" t="s">
        <v>2307</v>
      </c>
      <c r="H37" s="1">
        <v>4.0</v>
      </c>
      <c r="I37" s="1" t="s">
        <v>2357</v>
      </c>
      <c r="J37" s="1" t="s">
        <v>2358</v>
      </c>
    </row>
    <row r="38">
      <c r="A38" s="1"/>
      <c r="B38" s="1" t="s">
        <v>431</v>
      </c>
      <c r="C38" s="1" t="s">
        <v>2359</v>
      </c>
      <c r="D38" s="1" t="s">
        <v>2360</v>
      </c>
      <c r="E38" s="1" t="s">
        <v>2361</v>
      </c>
      <c r="F38" s="1" t="s">
        <v>2362</v>
      </c>
      <c r="G38" s="1" t="s">
        <v>2212</v>
      </c>
      <c r="H38" s="1">
        <v>6.0</v>
      </c>
      <c r="I38" s="1" t="s">
        <v>2363</v>
      </c>
      <c r="J38" s="1" t="s">
        <v>2364</v>
      </c>
    </row>
    <row r="39">
      <c r="A39" s="1"/>
      <c r="B39" s="1" t="s">
        <v>458</v>
      </c>
      <c r="C39" s="1" t="s">
        <v>2365</v>
      </c>
      <c r="D39" s="1" t="s">
        <v>2366</v>
      </c>
      <c r="E39" s="1" t="s">
        <v>2367</v>
      </c>
      <c r="F39" s="1" t="s">
        <v>2368</v>
      </c>
      <c r="G39" s="1" t="s">
        <v>2140</v>
      </c>
      <c r="H39" s="1">
        <v>4.0</v>
      </c>
      <c r="I39" s="1" t="s">
        <v>2369</v>
      </c>
      <c r="J39" s="1" t="s">
        <v>2370</v>
      </c>
    </row>
    <row r="40">
      <c r="A40" s="1"/>
      <c r="B40" s="1" t="s">
        <v>467</v>
      </c>
      <c r="C40" s="1" t="s">
        <v>2371</v>
      </c>
      <c r="D40" s="1" t="s">
        <v>2372</v>
      </c>
      <c r="E40" s="1" t="s">
        <v>2373</v>
      </c>
      <c r="F40" s="1" t="s">
        <v>2374</v>
      </c>
      <c r="G40" s="1" t="s">
        <v>2257</v>
      </c>
      <c r="H40" s="1">
        <v>4.0</v>
      </c>
      <c r="I40" s="1" t="s">
        <v>2375</v>
      </c>
      <c r="J40" s="1" t="s">
        <v>2376</v>
      </c>
    </row>
    <row r="41">
      <c r="A41" s="1"/>
      <c r="B41" s="1" t="s">
        <v>476</v>
      </c>
      <c r="C41" s="1" t="s">
        <v>2377</v>
      </c>
      <c r="D41" s="1" t="s">
        <v>2378</v>
      </c>
      <c r="E41" s="1" t="s">
        <v>2379</v>
      </c>
      <c r="F41" s="1" t="s">
        <v>2380</v>
      </c>
      <c r="G41" s="1" t="s">
        <v>2381</v>
      </c>
      <c r="H41" s="1">
        <v>3.0</v>
      </c>
      <c r="I41" s="1" t="s">
        <v>2382</v>
      </c>
      <c r="J41" s="1" t="s">
        <v>2383</v>
      </c>
    </row>
    <row r="42">
      <c r="A42" s="1"/>
      <c r="B42" s="1" t="s">
        <v>502</v>
      </c>
      <c r="C42" s="1" t="s">
        <v>2384</v>
      </c>
      <c r="D42" s="1" t="s">
        <v>2385</v>
      </c>
      <c r="E42" s="1" t="s">
        <v>2386</v>
      </c>
      <c r="F42" s="1" t="s">
        <v>2387</v>
      </c>
      <c r="G42" s="1" t="s">
        <v>2147</v>
      </c>
      <c r="H42" s="1">
        <v>8.0</v>
      </c>
      <c r="I42" s="1" t="s">
        <v>2388</v>
      </c>
      <c r="J42" s="1" t="s">
        <v>2389</v>
      </c>
    </row>
    <row r="43">
      <c r="A43" s="1"/>
      <c r="B43" s="1" t="s">
        <v>511</v>
      </c>
      <c r="C43" s="1" t="s">
        <v>2390</v>
      </c>
      <c r="D43" s="1" t="s">
        <v>2391</v>
      </c>
      <c r="E43" s="1" t="s">
        <v>2392</v>
      </c>
      <c r="F43" s="1" t="s">
        <v>2393</v>
      </c>
      <c r="G43" s="1" t="s">
        <v>2394</v>
      </c>
      <c r="H43" s="1">
        <v>6.0</v>
      </c>
      <c r="I43" s="1" t="s">
        <v>2395</v>
      </c>
      <c r="J43" s="1" t="s">
        <v>2396</v>
      </c>
    </row>
    <row r="44">
      <c r="A44" s="1"/>
      <c r="B44" s="1" t="s">
        <v>563</v>
      </c>
      <c r="C44" s="1" t="s">
        <v>2164</v>
      </c>
      <c r="D44" s="1" t="s">
        <v>2397</v>
      </c>
      <c r="E44" s="1" t="s">
        <v>2398</v>
      </c>
      <c r="F44" s="1" t="s">
        <v>2399</v>
      </c>
      <c r="G44" s="1" t="s">
        <v>2140</v>
      </c>
      <c r="H44" s="1">
        <v>4.0</v>
      </c>
      <c r="I44" s="1" t="s">
        <v>2400</v>
      </c>
      <c r="J44" s="1" t="s">
        <v>2401</v>
      </c>
    </row>
    <row r="45">
      <c r="A45" s="1"/>
      <c r="B45" s="1" t="s">
        <v>1148</v>
      </c>
      <c r="C45" s="1" t="s">
        <v>2402</v>
      </c>
      <c r="D45" s="1" t="s">
        <v>2403</v>
      </c>
      <c r="E45" s="1" t="s">
        <v>2404</v>
      </c>
      <c r="F45" s="1" t="s">
        <v>2380</v>
      </c>
      <c r="G45" s="1" t="s">
        <v>2381</v>
      </c>
      <c r="H45" s="1">
        <v>3.0</v>
      </c>
      <c r="I45" s="1" t="s">
        <v>2405</v>
      </c>
      <c r="J45" s="1" t="s">
        <v>2406</v>
      </c>
    </row>
    <row r="46">
      <c r="A46" s="1"/>
      <c r="B46" s="1" t="s">
        <v>1717</v>
      </c>
      <c r="C46" s="1" t="s">
        <v>2407</v>
      </c>
      <c r="D46" s="1" t="s">
        <v>2408</v>
      </c>
      <c r="E46" s="1" t="s">
        <v>2409</v>
      </c>
      <c r="F46" s="1" t="s">
        <v>2410</v>
      </c>
      <c r="G46" s="1" t="s">
        <v>2411</v>
      </c>
      <c r="H46" s="1">
        <v>8.0</v>
      </c>
      <c r="I46" s="1" t="s">
        <v>2412</v>
      </c>
      <c r="J46" s="1" t="s">
        <v>2413</v>
      </c>
    </row>
    <row r="47">
      <c r="A47" s="1"/>
      <c r="B47" s="1" t="s">
        <v>1721</v>
      </c>
      <c r="C47" s="1" t="s">
        <v>2414</v>
      </c>
      <c r="D47" s="1" t="s">
        <v>2415</v>
      </c>
      <c r="E47" s="1" t="s">
        <v>2416</v>
      </c>
      <c r="F47" s="1" t="s">
        <v>2417</v>
      </c>
      <c r="G47" s="1" t="s">
        <v>2394</v>
      </c>
      <c r="H47" s="1">
        <v>4.0</v>
      </c>
      <c r="I47" s="1" t="s">
        <v>2418</v>
      </c>
      <c r="J47" s="1" t="s">
        <v>2419</v>
      </c>
    </row>
    <row r="48">
      <c r="A48" s="1"/>
      <c r="B48" s="1" t="s">
        <v>1733</v>
      </c>
      <c r="C48" s="1" t="s">
        <v>2420</v>
      </c>
      <c r="D48" s="1" t="s">
        <v>2421</v>
      </c>
      <c r="E48" s="1" t="s">
        <v>2422</v>
      </c>
      <c r="F48" s="1" t="s">
        <v>2423</v>
      </c>
      <c r="G48" s="1" t="s">
        <v>2424</v>
      </c>
      <c r="H48" s="1">
        <v>10.0</v>
      </c>
      <c r="I48" s="1" t="s">
        <v>2425</v>
      </c>
      <c r="J48" s="1" t="s">
        <v>2426</v>
      </c>
    </row>
    <row r="49">
      <c r="A49" s="1"/>
      <c r="B49" s="1" t="s">
        <v>1745</v>
      </c>
      <c r="C49" s="1" t="s">
        <v>2427</v>
      </c>
      <c r="D49" s="1" t="s">
        <v>2428</v>
      </c>
      <c r="E49" s="1" t="s">
        <v>2429</v>
      </c>
      <c r="F49" s="1" t="s">
        <v>2430</v>
      </c>
      <c r="G49" s="1" t="s">
        <v>2147</v>
      </c>
      <c r="H49" s="1">
        <v>8.0</v>
      </c>
      <c r="I49" s="1" t="s">
        <v>2431</v>
      </c>
      <c r="J49" s="1" t="s">
        <v>2432</v>
      </c>
    </row>
    <row r="50">
      <c r="A50" s="1"/>
      <c r="B50" s="1" t="s">
        <v>608</v>
      </c>
      <c r="C50" s="1" t="s">
        <v>2433</v>
      </c>
      <c r="D50" s="1" t="s">
        <v>2434</v>
      </c>
      <c r="E50" s="1" t="s">
        <v>2435</v>
      </c>
      <c r="F50" s="1" t="s">
        <v>2436</v>
      </c>
      <c r="G50" s="1" t="s">
        <v>2140</v>
      </c>
      <c r="H50" s="1">
        <v>4.0</v>
      </c>
      <c r="I50" s="1" t="s">
        <v>2437</v>
      </c>
      <c r="J50" s="1" t="s">
        <v>2438</v>
      </c>
    </row>
    <row r="51">
      <c r="A51" s="1"/>
      <c r="B51" s="1" t="s">
        <v>653</v>
      </c>
      <c r="C51" s="1" t="s">
        <v>2439</v>
      </c>
      <c r="D51" s="1" t="s">
        <v>2440</v>
      </c>
      <c r="E51" s="1" t="s">
        <v>2441</v>
      </c>
      <c r="F51" s="1" t="s">
        <v>2442</v>
      </c>
      <c r="G51" s="1" t="s">
        <v>2307</v>
      </c>
      <c r="H51" s="1">
        <v>6.0</v>
      </c>
      <c r="I51" s="1" t="s">
        <v>2443</v>
      </c>
      <c r="J51" s="1" t="s">
        <v>2444</v>
      </c>
    </row>
    <row r="52">
      <c r="A52" s="1"/>
      <c r="B52" s="1" t="s">
        <v>662</v>
      </c>
      <c r="C52" s="1" t="s">
        <v>2445</v>
      </c>
      <c r="D52" s="1" t="s">
        <v>2446</v>
      </c>
      <c r="E52" s="1" t="s">
        <v>2447</v>
      </c>
      <c r="F52" s="1" t="s">
        <v>2448</v>
      </c>
      <c r="G52" s="1" t="s">
        <v>2212</v>
      </c>
      <c r="H52" s="1">
        <v>8.0</v>
      </c>
      <c r="I52" s="1" t="s">
        <v>2449</v>
      </c>
      <c r="J52" s="1" t="s">
        <v>2450</v>
      </c>
    </row>
    <row r="53">
      <c r="A53" s="1"/>
      <c r="B53" s="1" t="s">
        <v>671</v>
      </c>
      <c r="C53" s="1" t="s">
        <v>2451</v>
      </c>
      <c r="D53" s="1" t="s">
        <v>2452</v>
      </c>
      <c r="E53" s="1" t="s">
        <v>2453</v>
      </c>
      <c r="F53" s="1" t="s">
        <v>2454</v>
      </c>
      <c r="G53" s="1" t="s">
        <v>2411</v>
      </c>
      <c r="H53" s="1">
        <v>6.0</v>
      </c>
      <c r="I53" s="1" t="s">
        <v>2455</v>
      </c>
      <c r="J53" s="1" t="s">
        <v>2456</v>
      </c>
    </row>
    <row r="54">
      <c r="A54" s="1"/>
      <c r="B54" s="1" t="s">
        <v>689</v>
      </c>
      <c r="C54" s="1" t="s">
        <v>2457</v>
      </c>
      <c r="D54" s="1" t="s">
        <v>2458</v>
      </c>
      <c r="E54" s="1" t="s">
        <v>2459</v>
      </c>
      <c r="F54" s="1" t="s">
        <v>2460</v>
      </c>
      <c r="G54" s="1" t="s">
        <v>2147</v>
      </c>
      <c r="H54" s="1">
        <v>8.0</v>
      </c>
      <c r="I54" s="1" t="s">
        <v>2461</v>
      </c>
      <c r="J54" s="1" t="s">
        <v>2462</v>
      </c>
    </row>
    <row r="55">
      <c r="A55" s="1"/>
      <c r="B55" s="1" t="s">
        <v>698</v>
      </c>
      <c r="C55" s="1" t="s">
        <v>2463</v>
      </c>
      <c r="D55" s="1" t="s">
        <v>2464</v>
      </c>
      <c r="E55" s="1" t="s">
        <v>2465</v>
      </c>
      <c r="F55" s="1" t="s">
        <v>2466</v>
      </c>
      <c r="G55" s="1" t="s">
        <v>2257</v>
      </c>
      <c r="H55" s="1">
        <v>6.0</v>
      </c>
      <c r="I55" s="1" t="s">
        <v>2467</v>
      </c>
      <c r="J55" s="1" t="s">
        <v>2468</v>
      </c>
    </row>
    <row r="56">
      <c r="A56" s="1"/>
      <c r="B56" s="1" t="s">
        <v>707</v>
      </c>
      <c r="C56" s="1" t="s">
        <v>2469</v>
      </c>
      <c r="D56" s="1" t="s">
        <v>2470</v>
      </c>
      <c r="E56" s="1" t="s">
        <v>2471</v>
      </c>
      <c r="F56" s="1" t="s">
        <v>2472</v>
      </c>
      <c r="G56" s="1" t="s">
        <v>2411</v>
      </c>
      <c r="H56" s="1">
        <v>4.0</v>
      </c>
      <c r="I56" s="1" t="s">
        <v>2473</v>
      </c>
      <c r="J56" s="1" t="s">
        <v>2474</v>
      </c>
    </row>
    <row r="57">
      <c r="A57" s="1"/>
      <c r="B57" s="1" t="s">
        <v>725</v>
      </c>
      <c r="C57" s="1" t="s">
        <v>2475</v>
      </c>
      <c r="D57" s="1" t="s">
        <v>2476</v>
      </c>
      <c r="E57" s="1" t="s">
        <v>2477</v>
      </c>
      <c r="F57" s="1" t="s">
        <v>2478</v>
      </c>
      <c r="G57" s="1" t="s">
        <v>2307</v>
      </c>
      <c r="H57" s="1">
        <v>6.0</v>
      </c>
      <c r="I57" s="1" t="s">
        <v>2479</v>
      </c>
      <c r="J57" s="1" t="s">
        <v>2480</v>
      </c>
    </row>
    <row r="58">
      <c r="A58" s="1"/>
      <c r="B58" s="1" t="s">
        <v>733</v>
      </c>
      <c r="C58" s="1" t="s">
        <v>2481</v>
      </c>
      <c r="D58" s="1" t="s">
        <v>2482</v>
      </c>
      <c r="E58" s="1" t="s">
        <v>2483</v>
      </c>
      <c r="F58" s="1" t="s">
        <v>2484</v>
      </c>
      <c r="G58" s="1" t="s">
        <v>2140</v>
      </c>
      <c r="H58" s="1">
        <v>10.0</v>
      </c>
      <c r="I58" s="1" t="s">
        <v>2485</v>
      </c>
      <c r="J58" s="1" t="s">
        <v>2486</v>
      </c>
    </row>
    <row r="59">
      <c r="A59" s="1"/>
      <c r="B59" s="1" t="s">
        <v>742</v>
      </c>
      <c r="C59" s="1" t="s">
        <v>2487</v>
      </c>
      <c r="D59" s="1" t="s">
        <v>2488</v>
      </c>
      <c r="E59" s="1" t="s">
        <v>2489</v>
      </c>
      <c r="F59" s="1" t="s">
        <v>2490</v>
      </c>
      <c r="G59" s="1" t="s">
        <v>2491</v>
      </c>
      <c r="H59" s="1">
        <v>6.0</v>
      </c>
      <c r="I59" s="1" t="s">
        <v>2492</v>
      </c>
      <c r="J59" s="1" t="s">
        <v>2493</v>
      </c>
    </row>
    <row r="60">
      <c r="A60" s="1"/>
      <c r="B60" s="1" t="s">
        <v>751</v>
      </c>
      <c r="C60" s="1" t="s">
        <v>2494</v>
      </c>
      <c r="D60" s="1" t="s">
        <v>2495</v>
      </c>
      <c r="E60" s="1" t="s">
        <v>2496</v>
      </c>
      <c r="F60" s="1" t="s">
        <v>2497</v>
      </c>
      <c r="G60" s="1" t="s">
        <v>2424</v>
      </c>
      <c r="H60" s="1">
        <v>4.0</v>
      </c>
      <c r="I60" s="1" t="s">
        <v>2498</v>
      </c>
      <c r="J60" s="1" t="s">
        <v>2499</v>
      </c>
    </row>
    <row r="61">
      <c r="A61" s="1"/>
      <c r="B61" s="1" t="s">
        <v>760</v>
      </c>
      <c r="C61" s="1" t="s">
        <v>2500</v>
      </c>
      <c r="D61" s="1" t="s">
        <v>2501</v>
      </c>
      <c r="E61" s="1" t="s">
        <v>2502</v>
      </c>
      <c r="F61" s="1" t="s">
        <v>2503</v>
      </c>
      <c r="G61" s="1" t="s">
        <v>2307</v>
      </c>
      <c r="H61" s="1">
        <v>8.0</v>
      </c>
      <c r="I61" s="1" t="s">
        <v>2504</v>
      </c>
      <c r="J61" s="1" t="s">
        <v>2505</v>
      </c>
    </row>
    <row r="62">
      <c r="A62" s="1"/>
      <c r="B62" s="1" t="s">
        <v>1182</v>
      </c>
      <c r="C62" s="1" t="s">
        <v>2506</v>
      </c>
      <c r="D62" s="1" t="s">
        <v>2507</v>
      </c>
      <c r="E62" s="1" t="s">
        <v>2508</v>
      </c>
      <c r="F62" s="1" t="s">
        <v>2509</v>
      </c>
      <c r="G62" s="1" t="s">
        <v>2257</v>
      </c>
      <c r="H62" s="1">
        <v>10.0</v>
      </c>
      <c r="I62" s="1" t="s">
        <v>2510</v>
      </c>
      <c r="J62" s="1" t="s">
        <v>2511</v>
      </c>
    </row>
    <row r="63">
      <c r="A63" s="1"/>
      <c r="B63" s="1" t="s">
        <v>814</v>
      </c>
      <c r="C63" s="1" t="s">
        <v>2512</v>
      </c>
      <c r="D63" s="1" t="s">
        <v>2513</v>
      </c>
      <c r="E63" s="1" t="s">
        <v>2514</v>
      </c>
      <c r="F63" s="1" t="s">
        <v>2515</v>
      </c>
      <c r="G63" s="1" t="s">
        <v>2394</v>
      </c>
      <c r="H63" s="1">
        <v>8.0</v>
      </c>
      <c r="I63" s="1" t="s">
        <v>2516</v>
      </c>
      <c r="J63" s="1" t="s">
        <v>2517</v>
      </c>
    </row>
    <row r="64">
      <c r="A64" s="1"/>
      <c r="B64" s="1" t="s">
        <v>849</v>
      </c>
      <c r="C64" s="1" t="s">
        <v>2518</v>
      </c>
      <c r="D64" s="1" t="s">
        <v>2519</v>
      </c>
      <c r="E64" s="1" t="s">
        <v>2520</v>
      </c>
      <c r="F64" s="1" t="s">
        <v>2521</v>
      </c>
      <c r="G64" s="1" t="s">
        <v>2411</v>
      </c>
      <c r="H64" s="1">
        <v>10.0</v>
      </c>
      <c r="I64" s="1" t="s">
        <v>2522</v>
      </c>
      <c r="J64" s="1" t="s">
        <v>2523</v>
      </c>
    </row>
    <row r="65">
      <c r="A65" s="1"/>
      <c r="B65" s="1" t="s">
        <v>858</v>
      </c>
      <c r="C65" s="1" t="s">
        <v>2524</v>
      </c>
      <c r="D65" s="1" t="s">
        <v>2525</v>
      </c>
      <c r="E65" s="1" t="s">
        <v>2526</v>
      </c>
      <c r="F65" s="1" t="s">
        <v>2527</v>
      </c>
      <c r="G65" s="1" t="s">
        <v>2147</v>
      </c>
      <c r="H65" s="1">
        <v>6.0</v>
      </c>
      <c r="I65" s="1" t="s">
        <v>2528</v>
      </c>
      <c r="J65" s="1" t="s">
        <v>2529</v>
      </c>
    </row>
    <row r="66">
      <c r="A66" s="1"/>
      <c r="B66" s="1" t="s">
        <v>866</v>
      </c>
      <c r="C66" s="1" t="s">
        <v>2530</v>
      </c>
      <c r="D66" s="1" t="s">
        <v>2531</v>
      </c>
      <c r="E66" s="1" t="s">
        <v>2532</v>
      </c>
      <c r="F66" s="1" t="s">
        <v>2533</v>
      </c>
      <c r="G66" s="1" t="s">
        <v>2411</v>
      </c>
      <c r="H66" s="1">
        <v>6.0</v>
      </c>
      <c r="I66" s="1" t="s">
        <v>2534</v>
      </c>
      <c r="J66" s="1" t="s">
        <v>2535</v>
      </c>
    </row>
    <row r="67">
      <c r="A67" s="1"/>
      <c r="B67" s="1" t="s">
        <v>884</v>
      </c>
      <c r="C67" s="1" t="s">
        <v>2536</v>
      </c>
      <c r="D67" s="1" t="s">
        <v>2537</v>
      </c>
      <c r="E67" s="1" t="s">
        <v>2538</v>
      </c>
      <c r="F67" s="1" t="s">
        <v>2539</v>
      </c>
      <c r="G67" s="1" t="s">
        <v>2140</v>
      </c>
      <c r="H67" s="1">
        <v>4.0</v>
      </c>
      <c r="I67" s="1" t="s">
        <v>2540</v>
      </c>
      <c r="J67" s="1" t="s">
        <v>2541</v>
      </c>
    </row>
    <row r="68">
      <c r="A68" s="1"/>
      <c r="B68" s="1" t="s">
        <v>910</v>
      </c>
      <c r="C68" s="1" t="s">
        <v>2542</v>
      </c>
      <c r="D68" s="1" t="s">
        <v>2543</v>
      </c>
      <c r="E68" s="1" t="s">
        <v>2544</v>
      </c>
      <c r="F68" s="1" t="s">
        <v>2545</v>
      </c>
      <c r="G68" s="1" t="s">
        <v>2257</v>
      </c>
      <c r="H68" s="1">
        <v>8.0</v>
      </c>
      <c r="I68" s="1" t="s">
        <v>2546</v>
      </c>
      <c r="J68" s="1" t="s">
        <v>2547</v>
      </c>
    </row>
    <row r="69">
      <c r="A69" s="1"/>
      <c r="B69" s="1" t="s">
        <v>919</v>
      </c>
      <c r="C69" s="1" t="s">
        <v>2548</v>
      </c>
      <c r="D69" s="1" t="s">
        <v>2549</v>
      </c>
      <c r="E69" s="1" t="s">
        <v>2550</v>
      </c>
      <c r="F69" s="1" t="s">
        <v>2551</v>
      </c>
      <c r="G69" s="1" t="s">
        <v>2147</v>
      </c>
      <c r="H69" s="1">
        <v>10.0</v>
      </c>
      <c r="I69" s="1" t="s">
        <v>2552</v>
      </c>
      <c r="J69" s="1" t="s">
        <v>2553</v>
      </c>
    </row>
    <row r="70">
      <c r="A70" s="1"/>
      <c r="B70" s="1" t="s">
        <v>946</v>
      </c>
      <c r="C70" s="1" t="s">
        <v>2554</v>
      </c>
      <c r="D70" s="1" t="s">
        <v>2555</v>
      </c>
      <c r="E70" s="1" t="s">
        <v>2556</v>
      </c>
      <c r="F70" s="1" t="s">
        <v>2557</v>
      </c>
      <c r="G70" s="1" t="s">
        <v>2394</v>
      </c>
      <c r="H70" s="1">
        <v>4.0</v>
      </c>
      <c r="I70" s="1" t="s">
        <v>2558</v>
      </c>
      <c r="J70" s="1" t="s">
        <v>2559</v>
      </c>
    </row>
    <row r="71">
      <c r="A71" s="1"/>
      <c r="B71" s="1" t="s">
        <v>991</v>
      </c>
      <c r="C71" s="1" t="s">
        <v>2560</v>
      </c>
      <c r="D71" s="1" t="s">
        <v>2561</v>
      </c>
      <c r="E71" s="1" t="s">
        <v>2562</v>
      </c>
      <c r="F71" s="1" t="s">
        <v>2563</v>
      </c>
      <c r="G71" s="1" t="s">
        <v>2140</v>
      </c>
      <c r="H71" s="1">
        <v>10.0</v>
      </c>
      <c r="I71" s="1" t="s">
        <v>2564</v>
      </c>
      <c r="J71" s="1" t="s">
        <v>2565</v>
      </c>
    </row>
    <row r="72">
      <c r="A72" s="1"/>
      <c r="B72" s="1" t="s">
        <v>964</v>
      </c>
      <c r="C72" s="1" t="s">
        <v>2566</v>
      </c>
      <c r="D72" s="1" t="s">
        <v>2567</v>
      </c>
      <c r="E72" s="1" t="s">
        <v>2568</v>
      </c>
      <c r="F72" s="1" t="s">
        <v>2569</v>
      </c>
      <c r="G72" s="1" t="s">
        <v>2212</v>
      </c>
      <c r="H72" s="1">
        <v>6.0</v>
      </c>
      <c r="I72" s="1" t="s">
        <v>2570</v>
      </c>
      <c r="J72" s="1" t="s">
        <v>2571</v>
      </c>
    </row>
    <row r="73">
      <c r="A73" s="1"/>
      <c r="B73" s="1" t="s">
        <v>1035</v>
      </c>
      <c r="C73" s="1" t="s">
        <v>2572</v>
      </c>
      <c r="D73" s="1" t="s">
        <v>2573</v>
      </c>
      <c r="E73" s="1" t="s">
        <v>2574</v>
      </c>
      <c r="F73" s="1" t="s">
        <v>2575</v>
      </c>
      <c r="G73" s="1" t="s">
        <v>2147</v>
      </c>
      <c r="H73" s="1">
        <v>4.0</v>
      </c>
      <c r="I73" s="1" t="s">
        <v>2576</v>
      </c>
      <c r="J73" s="1" t="s">
        <v>2577</v>
      </c>
    </row>
    <row r="74">
      <c r="A74" s="1"/>
      <c r="B74" s="1" t="s">
        <v>1061</v>
      </c>
      <c r="C74" s="1" t="s">
        <v>2578</v>
      </c>
      <c r="D74" s="1" t="s">
        <v>2579</v>
      </c>
      <c r="E74" s="1" t="s">
        <v>2580</v>
      </c>
      <c r="F74" s="1" t="s">
        <v>2581</v>
      </c>
      <c r="G74" s="1" t="s">
        <v>2257</v>
      </c>
      <c r="H74" s="1">
        <v>12.0</v>
      </c>
      <c r="I74" s="1" t="s">
        <v>2582</v>
      </c>
      <c r="J74" s="1" t="s">
        <v>2583</v>
      </c>
    </row>
    <row r="75">
      <c r="A75" s="1"/>
      <c r="B75" s="1" t="s">
        <v>1070</v>
      </c>
      <c r="C75" s="1" t="s">
        <v>2584</v>
      </c>
      <c r="D75" s="1" t="s">
        <v>2585</v>
      </c>
      <c r="E75" s="1" t="s">
        <v>2586</v>
      </c>
      <c r="F75" s="1" t="s">
        <v>2587</v>
      </c>
      <c r="G75" s="1" t="s">
        <v>2140</v>
      </c>
      <c r="H75" s="1">
        <v>8.0</v>
      </c>
      <c r="I75" s="1" t="s">
        <v>2588</v>
      </c>
      <c r="J75" s="1" t="s">
        <v>2589</v>
      </c>
    </row>
    <row r="76">
      <c r="A76" s="1"/>
      <c r="B76" s="1" t="s">
        <v>1078</v>
      </c>
      <c r="C76" s="1" t="s">
        <v>2590</v>
      </c>
      <c r="D76" s="1" t="s">
        <v>2591</v>
      </c>
      <c r="E76" s="1" t="s">
        <v>2592</v>
      </c>
      <c r="F76" s="1" t="s">
        <v>2593</v>
      </c>
      <c r="G76" s="1" t="s">
        <v>2594</v>
      </c>
      <c r="H76" s="1">
        <v>6.0</v>
      </c>
      <c r="I76" s="1" t="s">
        <v>2595</v>
      </c>
      <c r="J76" s="1" t="s">
        <v>2596</v>
      </c>
    </row>
    <row r="77">
      <c r="A77" s="1"/>
      <c r="B77" s="1" t="s">
        <v>1114</v>
      </c>
      <c r="C77" s="1" t="s">
        <v>2597</v>
      </c>
      <c r="D77" s="1" t="s">
        <v>2598</v>
      </c>
      <c r="E77" s="1" t="s">
        <v>2599</v>
      </c>
      <c r="F77" s="1" t="s">
        <v>2600</v>
      </c>
      <c r="G77" s="1" t="s">
        <v>2140</v>
      </c>
      <c r="H77" s="1">
        <v>8.0</v>
      </c>
      <c r="I77" s="1" t="s">
        <v>2601</v>
      </c>
      <c r="J77" s="1" t="s">
        <v>2602</v>
      </c>
    </row>
    <row r="78">
      <c r="A78" s="1"/>
      <c r="B78" s="1" t="s">
        <v>1131</v>
      </c>
      <c r="C78" s="1" t="s">
        <v>2603</v>
      </c>
      <c r="D78" s="1" t="s">
        <v>2604</v>
      </c>
      <c r="E78" s="1" t="s">
        <v>2605</v>
      </c>
      <c r="F78" s="1" t="s">
        <v>2606</v>
      </c>
      <c r="G78" s="1" t="s">
        <v>2147</v>
      </c>
      <c r="H78" s="1">
        <v>6.0</v>
      </c>
      <c r="I78" s="1" t="s">
        <v>2607</v>
      </c>
      <c r="J78" s="1" t="s">
        <v>2608</v>
      </c>
    </row>
    <row r="79">
      <c r="A79" s="1"/>
      <c r="B79" s="1" t="s">
        <v>1140</v>
      </c>
      <c r="C79" s="1" t="s">
        <v>2609</v>
      </c>
      <c r="D79" s="1" t="s">
        <v>2610</v>
      </c>
      <c r="E79" s="1" t="s">
        <v>2611</v>
      </c>
      <c r="F79" s="1" t="s">
        <v>2612</v>
      </c>
      <c r="G79" s="1" t="s">
        <v>2307</v>
      </c>
      <c r="H79" s="1">
        <v>6.0</v>
      </c>
      <c r="I79" s="1" t="s">
        <v>2613</v>
      </c>
      <c r="J79" s="1" t="s">
        <v>2614</v>
      </c>
    </row>
    <row r="80">
      <c r="A80" s="1"/>
      <c r="B80" s="1" t="s">
        <v>1157</v>
      </c>
      <c r="C80" s="1" t="s">
        <v>2615</v>
      </c>
      <c r="D80" s="1" t="s">
        <v>2616</v>
      </c>
      <c r="E80" s="1" t="s">
        <v>2617</v>
      </c>
      <c r="F80" s="1" t="s">
        <v>2618</v>
      </c>
      <c r="G80" s="1" t="s">
        <v>2411</v>
      </c>
      <c r="H80" s="1">
        <v>8.0</v>
      </c>
      <c r="I80" s="1" t="s">
        <v>2619</v>
      </c>
      <c r="J80" s="1" t="s">
        <v>2620</v>
      </c>
    </row>
    <row r="81">
      <c r="A81" s="1"/>
      <c r="B81" s="1" t="s">
        <v>1166</v>
      </c>
      <c r="C81" s="1" t="s">
        <v>2621</v>
      </c>
      <c r="D81" s="1" t="s">
        <v>2622</v>
      </c>
      <c r="E81" s="1" t="s">
        <v>2623</v>
      </c>
      <c r="F81" s="1" t="s">
        <v>2624</v>
      </c>
      <c r="G81" s="1" t="s">
        <v>2394</v>
      </c>
      <c r="H81" s="1">
        <v>6.0</v>
      </c>
      <c r="I81" s="1" t="s">
        <v>2625</v>
      </c>
      <c r="J81" s="1" t="s">
        <v>2626</v>
      </c>
    </row>
    <row r="82">
      <c r="A82" s="1"/>
      <c r="B82" s="1" t="s">
        <v>1096</v>
      </c>
      <c r="C82" s="1" t="s">
        <v>2627</v>
      </c>
      <c r="D82" s="1" t="s">
        <v>2628</v>
      </c>
      <c r="E82" s="1" t="s">
        <v>2629</v>
      </c>
      <c r="F82" s="1" t="s">
        <v>2630</v>
      </c>
      <c r="G82" s="1" t="s">
        <v>2147</v>
      </c>
      <c r="H82" s="1">
        <v>4.0</v>
      </c>
      <c r="I82" s="1" t="s">
        <v>2631</v>
      </c>
      <c r="J82" s="1" t="s">
        <v>2632</v>
      </c>
    </row>
    <row r="83">
      <c r="A83" s="1"/>
      <c r="B83" s="1" t="s">
        <v>1131</v>
      </c>
      <c r="C83" s="1" t="s">
        <v>2603</v>
      </c>
      <c r="D83" s="1" t="s">
        <v>2633</v>
      </c>
      <c r="E83" s="1" t="s">
        <v>2605</v>
      </c>
      <c r="F83" s="1" t="s">
        <v>2436</v>
      </c>
      <c r="G83" s="1" t="s">
        <v>2147</v>
      </c>
      <c r="H83" s="1">
        <v>6.0</v>
      </c>
      <c r="I83" s="1" t="s">
        <v>2607</v>
      </c>
      <c r="J83" s="1" t="s">
        <v>2634</v>
      </c>
    </row>
    <row r="84">
      <c r="A84" s="1"/>
      <c r="B84" s="1" t="s">
        <v>1140</v>
      </c>
      <c r="C84" s="1" t="s">
        <v>2609</v>
      </c>
      <c r="D84" s="1" t="s">
        <v>2635</v>
      </c>
      <c r="E84" s="1" t="s">
        <v>2636</v>
      </c>
      <c r="F84" s="1" t="s">
        <v>2637</v>
      </c>
      <c r="G84" s="1" t="s">
        <v>2307</v>
      </c>
      <c r="H84" s="1">
        <v>6.0</v>
      </c>
      <c r="I84" s="1" t="s">
        <v>2613</v>
      </c>
      <c r="J84" s="1" t="s">
        <v>2638</v>
      </c>
    </row>
    <row r="85">
      <c r="A85" s="1"/>
      <c r="B85" s="1" t="s">
        <v>1157</v>
      </c>
      <c r="C85" s="1" t="s">
        <v>2615</v>
      </c>
      <c r="D85" s="1" t="s">
        <v>2616</v>
      </c>
      <c r="E85" s="1" t="s">
        <v>2617</v>
      </c>
      <c r="F85" s="1" t="s">
        <v>2639</v>
      </c>
      <c r="G85" s="1" t="s">
        <v>2411</v>
      </c>
      <c r="H85" s="1">
        <v>8.0</v>
      </c>
      <c r="I85" s="1" t="s">
        <v>2619</v>
      </c>
      <c r="J85" s="1" t="s">
        <v>2640</v>
      </c>
    </row>
    <row r="86">
      <c r="A86" s="1"/>
      <c r="B86" s="1" t="s">
        <v>1166</v>
      </c>
      <c r="C86" s="1" t="s">
        <v>2621</v>
      </c>
      <c r="D86" s="1" t="s">
        <v>2622</v>
      </c>
      <c r="E86" s="1" t="s">
        <v>2641</v>
      </c>
      <c r="F86" s="1" t="s">
        <v>2642</v>
      </c>
      <c r="G86" s="1" t="s">
        <v>2394</v>
      </c>
      <c r="H86" s="1">
        <v>6.0</v>
      </c>
      <c r="I86" s="1" t="s">
        <v>2625</v>
      </c>
      <c r="J86" s="1" t="s">
        <v>2643</v>
      </c>
    </row>
    <row r="87">
      <c r="A87" s="1"/>
      <c r="B87" s="1" t="s">
        <v>1182</v>
      </c>
      <c r="C87" s="1" t="s">
        <v>2506</v>
      </c>
      <c r="D87" s="1" t="s">
        <v>2644</v>
      </c>
      <c r="E87" s="1" t="s">
        <v>2645</v>
      </c>
      <c r="F87" s="1" t="s">
        <v>2646</v>
      </c>
      <c r="G87" s="1" t="s">
        <v>2257</v>
      </c>
      <c r="H87" s="1">
        <v>10.0</v>
      </c>
      <c r="I87" s="1" t="s">
        <v>2510</v>
      </c>
      <c r="J87" s="1" t="s">
        <v>2647</v>
      </c>
    </row>
    <row r="88">
      <c r="A88" s="1"/>
      <c r="B88" s="1" t="s">
        <v>2648</v>
      </c>
      <c r="C88" s="1" t="s">
        <v>2649</v>
      </c>
      <c r="D88" s="1" t="s">
        <v>2650</v>
      </c>
      <c r="E88" s="1" t="s">
        <v>2651</v>
      </c>
      <c r="F88" s="1" t="s">
        <v>2652</v>
      </c>
      <c r="G88" s="1" t="s">
        <v>2212</v>
      </c>
      <c r="H88" s="1">
        <v>6.0</v>
      </c>
      <c r="I88" s="1" t="s">
        <v>2653</v>
      </c>
      <c r="J88" s="1" t="s">
        <v>2654</v>
      </c>
    </row>
    <row r="89">
      <c r="A89" s="1"/>
      <c r="B89" s="1" t="s">
        <v>1225</v>
      </c>
      <c r="C89" s="1" t="s">
        <v>2655</v>
      </c>
      <c r="D89" s="1" t="s">
        <v>2656</v>
      </c>
      <c r="E89" s="1" t="s">
        <v>2657</v>
      </c>
      <c r="F89" s="1" t="s">
        <v>2658</v>
      </c>
      <c r="G89" s="1" t="s">
        <v>2659</v>
      </c>
      <c r="H89" s="1">
        <v>8.0</v>
      </c>
      <c r="I89" s="1" t="s">
        <v>2660</v>
      </c>
      <c r="J89" s="1" t="s">
        <v>2661</v>
      </c>
    </row>
    <row r="90">
      <c r="A90" s="1"/>
      <c r="B90" s="1" t="s">
        <v>1234</v>
      </c>
      <c r="C90" s="1" t="s">
        <v>2662</v>
      </c>
      <c r="D90" s="1" t="s">
        <v>2663</v>
      </c>
      <c r="E90" s="1" t="s">
        <v>2664</v>
      </c>
      <c r="F90" s="1" t="s">
        <v>2665</v>
      </c>
      <c r="G90" s="1" t="s">
        <v>2424</v>
      </c>
      <c r="H90" s="1">
        <v>6.0</v>
      </c>
      <c r="I90" s="1" t="s">
        <v>2666</v>
      </c>
      <c r="J90" s="1" t="s">
        <v>2667</v>
      </c>
    </row>
    <row r="91">
      <c r="A91" s="1"/>
      <c r="B91" s="1" t="s">
        <v>1277</v>
      </c>
      <c r="C91" s="1" t="s">
        <v>2668</v>
      </c>
      <c r="D91" s="1" t="s">
        <v>2669</v>
      </c>
      <c r="E91" s="1" t="s">
        <v>2670</v>
      </c>
      <c r="F91" s="1" t="s">
        <v>2671</v>
      </c>
      <c r="G91" s="1" t="s">
        <v>2140</v>
      </c>
      <c r="H91" s="1">
        <v>5.0</v>
      </c>
      <c r="I91" s="1" t="s">
        <v>2672</v>
      </c>
      <c r="J91" s="1" t="s">
        <v>2673</v>
      </c>
    </row>
    <row r="92">
      <c r="A92" s="1"/>
      <c r="B92" s="1" t="s">
        <v>1284</v>
      </c>
      <c r="C92" s="1" t="s">
        <v>2674</v>
      </c>
      <c r="D92" s="1" t="s">
        <v>2675</v>
      </c>
      <c r="E92" s="1" t="s">
        <v>2676</v>
      </c>
      <c r="F92" s="1" t="s">
        <v>2677</v>
      </c>
      <c r="G92" s="1" t="s">
        <v>2257</v>
      </c>
      <c r="H92" s="1">
        <v>6.0</v>
      </c>
      <c r="I92" s="1" t="s">
        <v>2678</v>
      </c>
      <c r="J92" s="1" t="s">
        <v>2679</v>
      </c>
    </row>
    <row r="93">
      <c r="A93" s="1"/>
      <c r="B93" s="1" t="s">
        <v>1299</v>
      </c>
      <c r="C93" s="1" t="s">
        <v>2680</v>
      </c>
      <c r="D93" s="1" t="s">
        <v>2464</v>
      </c>
      <c r="E93" s="1" t="s">
        <v>2681</v>
      </c>
      <c r="F93" s="1" t="s">
        <v>2682</v>
      </c>
      <c r="G93" s="1" t="s">
        <v>2257</v>
      </c>
      <c r="H93" s="1">
        <v>6.0</v>
      </c>
      <c r="I93" s="1" t="s">
        <v>2467</v>
      </c>
      <c r="J93" s="1" t="s">
        <v>2683</v>
      </c>
    </row>
    <row r="94">
      <c r="A94" s="1"/>
      <c r="B94" s="1" t="s">
        <v>1332</v>
      </c>
      <c r="C94" s="1" t="s">
        <v>2684</v>
      </c>
      <c r="D94" s="1" t="s">
        <v>2685</v>
      </c>
      <c r="E94" s="1" t="s">
        <v>2686</v>
      </c>
      <c r="F94" s="1" t="s">
        <v>2687</v>
      </c>
      <c r="G94" s="1" t="s">
        <v>2257</v>
      </c>
      <c r="H94" s="1">
        <v>8.0</v>
      </c>
      <c r="I94" s="1" t="s">
        <v>2688</v>
      </c>
      <c r="J94" s="1" t="s">
        <v>2689</v>
      </c>
    </row>
    <row r="95">
      <c r="A95" s="1"/>
      <c r="B95" s="1" t="s">
        <v>2010</v>
      </c>
      <c r="C95" s="1" t="s">
        <v>2690</v>
      </c>
      <c r="D95" s="1" t="s">
        <v>2691</v>
      </c>
      <c r="E95" s="1" t="s">
        <v>2692</v>
      </c>
      <c r="F95" s="1" t="s">
        <v>2693</v>
      </c>
      <c r="G95" s="1" t="s">
        <v>2147</v>
      </c>
      <c r="H95" s="1">
        <v>6.0</v>
      </c>
      <c r="I95" s="1" t="s">
        <v>2694</v>
      </c>
      <c r="J95" s="1" t="s">
        <v>2695</v>
      </c>
    </row>
    <row r="96">
      <c r="A96" s="1"/>
      <c r="B96" s="1" t="s">
        <v>1307</v>
      </c>
      <c r="C96" s="1" t="s">
        <v>2696</v>
      </c>
      <c r="D96" s="1" t="s">
        <v>2697</v>
      </c>
      <c r="E96" s="1" t="s">
        <v>2698</v>
      </c>
      <c r="F96" s="1" t="s">
        <v>2699</v>
      </c>
      <c r="G96" s="1" t="s">
        <v>2307</v>
      </c>
      <c r="H96" s="1">
        <v>8.0</v>
      </c>
      <c r="I96" s="1" t="s">
        <v>2700</v>
      </c>
      <c r="J96" s="1" t="s">
        <v>2701</v>
      </c>
    </row>
    <row r="97">
      <c r="A97" s="1"/>
      <c r="B97" s="1" t="s">
        <v>1315</v>
      </c>
      <c r="C97" s="1" t="s">
        <v>2702</v>
      </c>
      <c r="D97" s="1" t="s">
        <v>2703</v>
      </c>
      <c r="E97" s="1" t="s">
        <v>2704</v>
      </c>
      <c r="F97" s="1" t="s">
        <v>2705</v>
      </c>
      <c r="G97" s="1" t="s">
        <v>2706</v>
      </c>
      <c r="H97" s="1">
        <v>4.0</v>
      </c>
      <c r="I97" s="1" t="s">
        <v>2707</v>
      </c>
      <c r="J97" s="1" t="s">
        <v>2708</v>
      </c>
    </row>
    <row r="98">
      <c r="A98" s="1"/>
      <c r="B98" s="1" t="s">
        <v>1341</v>
      </c>
      <c r="C98" s="1" t="s">
        <v>2709</v>
      </c>
      <c r="D98" s="1" t="s">
        <v>2710</v>
      </c>
      <c r="E98" s="1" t="s">
        <v>2711</v>
      </c>
      <c r="F98" s="1" t="s">
        <v>2712</v>
      </c>
      <c r="G98" s="1" t="s">
        <v>2147</v>
      </c>
      <c r="H98" s="1">
        <v>8.0</v>
      </c>
      <c r="I98" s="1" t="s">
        <v>2713</v>
      </c>
      <c r="J98" s="1" t="s">
        <v>2714</v>
      </c>
    </row>
    <row r="99">
      <c r="A99" s="1"/>
      <c r="B99" s="1" t="s">
        <v>1350</v>
      </c>
      <c r="C99" s="1" t="s">
        <v>2715</v>
      </c>
      <c r="D99" s="1" t="s">
        <v>2716</v>
      </c>
      <c r="E99" s="1" t="s">
        <v>2717</v>
      </c>
      <c r="F99" s="1" t="s">
        <v>2718</v>
      </c>
      <c r="G99" s="1" t="s">
        <v>2257</v>
      </c>
      <c r="H99" s="1">
        <v>10.0</v>
      </c>
      <c r="I99" s="1" t="s">
        <v>2719</v>
      </c>
      <c r="J99" s="1" t="s">
        <v>2720</v>
      </c>
    </row>
    <row r="100">
      <c r="A100" s="1"/>
      <c r="B100" s="1" t="s">
        <v>1368</v>
      </c>
      <c r="C100" s="1" t="s">
        <v>2721</v>
      </c>
      <c r="D100" s="1" t="s">
        <v>2722</v>
      </c>
      <c r="E100" s="1" t="s">
        <v>2723</v>
      </c>
      <c r="F100" s="1" t="s">
        <v>2724</v>
      </c>
      <c r="G100" s="1" t="s">
        <v>2212</v>
      </c>
      <c r="H100" s="1">
        <v>8.0</v>
      </c>
      <c r="I100" s="1" t="s">
        <v>2725</v>
      </c>
      <c r="J100" s="1" t="s">
        <v>2726</v>
      </c>
    </row>
    <row r="101">
      <c r="A101" s="1"/>
      <c r="B101" s="1" t="s">
        <v>1377</v>
      </c>
      <c r="C101" s="1" t="s">
        <v>2727</v>
      </c>
      <c r="D101" s="1" t="s">
        <v>2728</v>
      </c>
      <c r="E101" s="1" t="s">
        <v>2729</v>
      </c>
      <c r="F101" s="1" t="s">
        <v>2730</v>
      </c>
      <c r="G101" s="1" t="s">
        <v>2257</v>
      </c>
      <c r="H101" s="1">
        <v>6.0</v>
      </c>
      <c r="I101" s="1" t="s">
        <v>2731</v>
      </c>
      <c r="J101" s="1" t="s">
        <v>2732</v>
      </c>
    </row>
    <row r="102">
      <c r="A102" s="1"/>
      <c r="B102" s="1" t="s">
        <v>1386</v>
      </c>
      <c r="C102" s="1" t="s">
        <v>2733</v>
      </c>
      <c r="D102" s="1" t="s">
        <v>2734</v>
      </c>
      <c r="E102" s="1" t="s">
        <v>2735</v>
      </c>
      <c r="F102" s="1" t="s">
        <v>2736</v>
      </c>
      <c r="G102" s="1" t="s">
        <v>2424</v>
      </c>
      <c r="H102" s="1">
        <v>6.0</v>
      </c>
      <c r="I102" s="1" t="s">
        <v>2737</v>
      </c>
      <c r="J102" s="1" t="s">
        <v>2738</v>
      </c>
    </row>
    <row r="103">
      <c r="A103" s="1"/>
      <c r="B103" s="1" t="s">
        <v>1395</v>
      </c>
      <c r="C103" s="1" t="s">
        <v>2739</v>
      </c>
      <c r="D103" s="1" t="s">
        <v>2740</v>
      </c>
      <c r="E103" s="1" t="s">
        <v>2741</v>
      </c>
      <c r="F103" s="1" t="s">
        <v>2742</v>
      </c>
      <c r="G103" s="1" t="s">
        <v>2491</v>
      </c>
      <c r="H103" s="1">
        <v>6.0</v>
      </c>
      <c r="I103" s="1" t="s">
        <v>2743</v>
      </c>
      <c r="J103" s="1" t="s">
        <v>2744</v>
      </c>
    </row>
    <row r="104">
      <c r="A104" s="1"/>
      <c r="B104" s="1" t="s">
        <v>2087</v>
      </c>
      <c r="C104" s="1" t="s">
        <v>2745</v>
      </c>
      <c r="D104" s="1" t="s">
        <v>2746</v>
      </c>
      <c r="E104" s="1" t="s">
        <v>2747</v>
      </c>
      <c r="F104" s="1" t="s">
        <v>2748</v>
      </c>
      <c r="G104" s="1" t="s">
        <v>2411</v>
      </c>
      <c r="H104" s="1">
        <v>10.0</v>
      </c>
      <c r="I104" s="1" t="s">
        <v>2749</v>
      </c>
      <c r="J104" s="1" t="s">
        <v>2750</v>
      </c>
    </row>
    <row r="105">
      <c r="A105" s="1"/>
      <c r="B105" s="1" t="s">
        <v>2095</v>
      </c>
      <c r="C105" s="1" t="s">
        <v>2751</v>
      </c>
      <c r="D105" s="1" t="s">
        <v>2752</v>
      </c>
      <c r="E105" s="1" t="s">
        <v>2753</v>
      </c>
      <c r="F105" s="1" t="s">
        <v>2754</v>
      </c>
      <c r="G105" s="1" t="s">
        <v>2147</v>
      </c>
      <c r="H105" s="1">
        <v>6.0</v>
      </c>
      <c r="I105" s="1" t="s">
        <v>2755</v>
      </c>
      <c r="J105" s="1" t="s">
        <v>2756</v>
      </c>
    </row>
    <row r="106">
      <c r="A106" s="1"/>
      <c r="B106" s="1" t="s">
        <v>2099</v>
      </c>
      <c r="C106" s="1" t="s">
        <v>2757</v>
      </c>
      <c r="D106" s="1" t="s">
        <v>2758</v>
      </c>
      <c r="E106" s="1" t="s">
        <v>2729</v>
      </c>
      <c r="F106" s="1" t="s">
        <v>2759</v>
      </c>
      <c r="G106" s="1" t="s">
        <v>2307</v>
      </c>
      <c r="H106" s="1">
        <v>6.0</v>
      </c>
      <c r="I106" s="1" t="s">
        <v>2760</v>
      </c>
      <c r="J106" s="1" t="s">
        <v>2761</v>
      </c>
    </row>
    <row r="107">
      <c r="A107" s="1"/>
      <c r="B107" s="1" t="s">
        <v>1404</v>
      </c>
      <c r="C107" s="1" t="s">
        <v>2762</v>
      </c>
      <c r="D107" s="1" t="s">
        <v>2763</v>
      </c>
      <c r="E107" s="1" t="s">
        <v>2764</v>
      </c>
      <c r="F107" s="1" t="s">
        <v>2606</v>
      </c>
      <c r="G107" s="1" t="s">
        <v>2257</v>
      </c>
      <c r="H107" s="1">
        <v>5.0</v>
      </c>
      <c r="I107" s="1" t="s">
        <v>2765</v>
      </c>
      <c r="J107" s="1" t="s">
        <v>2766</v>
      </c>
    </row>
    <row r="108">
      <c r="A108" s="1"/>
      <c r="B108" s="1" t="s">
        <v>2767</v>
      </c>
      <c r="C108" s="1" t="s">
        <v>2768</v>
      </c>
      <c r="D108" s="1" t="s">
        <v>2769</v>
      </c>
      <c r="E108" s="1" t="s">
        <v>2770</v>
      </c>
      <c r="F108" s="1" t="s">
        <v>2771</v>
      </c>
      <c r="G108" s="1" t="s">
        <v>2147</v>
      </c>
      <c r="H108" s="1">
        <v>8.0</v>
      </c>
      <c r="I108" s="1" t="s">
        <v>2772</v>
      </c>
      <c r="J108" s="1" t="s">
        <v>2773</v>
      </c>
    </row>
    <row r="109">
      <c r="A109" s="1"/>
      <c r="B109" s="1" t="s">
        <v>1413</v>
      </c>
      <c r="C109" s="1" t="s">
        <v>2774</v>
      </c>
      <c r="D109" s="1" t="s">
        <v>2775</v>
      </c>
      <c r="E109" s="1" t="s">
        <v>2776</v>
      </c>
      <c r="F109" s="1" t="s">
        <v>2777</v>
      </c>
      <c r="G109" s="1" t="s">
        <v>2394</v>
      </c>
      <c r="H109" s="1">
        <v>6.0</v>
      </c>
      <c r="I109" s="1" t="s">
        <v>2778</v>
      </c>
      <c r="J109" s="1" t="s">
        <v>2779</v>
      </c>
    </row>
    <row r="110">
      <c r="A110" s="1"/>
      <c r="B110" s="1" t="s">
        <v>1421</v>
      </c>
      <c r="C110" s="1" t="s">
        <v>2780</v>
      </c>
      <c r="D110" s="1" t="s">
        <v>2781</v>
      </c>
      <c r="E110" s="1" t="s">
        <v>2782</v>
      </c>
      <c r="F110" s="1" t="s">
        <v>2783</v>
      </c>
      <c r="G110" s="1" t="s">
        <v>2140</v>
      </c>
      <c r="H110" s="1">
        <v>8.0</v>
      </c>
      <c r="I110" s="1" t="s">
        <v>2784</v>
      </c>
      <c r="J110" s="1" t="s">
        <v>2785</v>
      </c>
    </row>
    <row r="111">
      <c r="A111" s="1"/>
      <c r="B111" s="1" t="s">
        <v>1359</v>
      </c>
      <c r="C111" s="1" t="s">
        <v>2786</v>
      </c>
      <c r="D111" s="1" t="s">
        <v>2787</v>
      </c>
      <c r="E111" s="1" t="s">
        <v>2788</v>
      </c>
      <c r="F111" s="1" t="s">
        <v>2789</v>
      </c>
      <c r="G111" s="1" t="s">
        <v>2147</v>
      </c>
      <c r="H111" s="1">
        <v>8.0</v>
      </c>
      <c r="I111" s="1" t="s">
        <v>2790</v>
      </c>
      <c r="J111" s="1" t="s">
        <v>2791</v>
      </c>
    </row>
    <row r="112">
      <c r="A112" s="1"/>
      <c r="B112" s="1" t="s">
        <v>2056</v>
      </c>
      <c r="C112" s="1" t="s">
        <v>2792</v>
      </c>
      <c r="D112" s="1" t="s">
        <v>2793</v>
      </c>
      <c r="E112" s="1" t="s">
        <v>2794</v>
      </c>
      <c r="F112" s="1" t="s">
        <v>2795</v>
      </c>
      <c r="G112" s="1" t="s">
        <v>2212</v>
      </c>
      <c r="H112" s="1">
        <v>6.0</v>
      </c>
      <c r="I112" s="1" t="s">
        <v>2796</v>
      </c>
      <c r="J112" s="1" t="s">
        <v>2797</v>
      </c>
    </row>
    <row r="113">
      <c r="A113" s="1"/>
      <c r="B113" s="1" t="s">
        <v>2061</v>
      </c>
      <c r="C113" s="1" t="s">
        <v>2798</v>
      </c>
      <c r="D113" s="1" t="s">
        <v>2799</v>
      </c>
      <c r="E113" s="1" t="s">
        <v>2800</v>
      </c>
      <c r="F113" s="1" t="s">
        <v>2801</v>
      </c>
      <c r="G113" s="1" t="s">
        <v>2307</v>
      </c>
      <c r="H113" s="1">
        <v>8.0</v>
      </c>
      <c r="I113" s="1" t="s">
        <v>2802</v>
      </c>
      <c r="J113" s="1" t="s">
        <v>2803</v>
      </c>
    </row>
    <row r="114">
      <c r="A114" s="1"/>
      <c r="B114" s="1" t="s">
        <v>1368</v>
      </c>
      <c r="C114" s="1" t="s">
        <v>2721</v>
      </c>
      <c r="D114" s="1" t="s">
        <v>2804</v>
      </c>
      <c r="E114" s="1" t="s">
        <v>2723</v>
      </c>
      <c r="F114" s="1" t="s">
        <v>2805</v>
      </c>
      <c r="G114" s="1" t="s">
        <v>2212</v>
      </c>
      <c r="H114" s="1">
        <v>8.0</v>
      </c>
      <c r="I114" s="1" t="s">
        <v>2725</v>
      </c>
      <c r="J114" s="1" t="s">
        <v>2726</v>
      </c>
    </row>
    <row r="115">
      <c r="A115" s="1"/>
      <c r="B115" s="1" t="s">
        <v>2079</v>
      </c>
      <c r="C115" s="1" t="s">
        <v>2806</v>
      </c>
      <c r="D115" s="1" t="s">
        <v>2807</v>
      </c>
      <c r="E115" s="1" t="s">
        <v>2808</v>
      </c>
      <c r="F115" s="1" t="s">
        <v>2809</v>
      </c>
      <c r="G115" s="1" t="s">
        <v>2257</v>
      </c>
      <c r="H115" s="1">
        <v>4.0</v>
      </c>
      <c r="I115" s="1" t="s">
        <v>2810</v>
      </c>
      <c r="J115" s="1" t="s">
        <v>2811</v>
      </c>
    </row>
    <row r="116">
      <c r="A116" s="1"/>
      <c r="B116" s="1" t="s">
        <v>1386</v>
      </c>
      <c r="C116" s="1" t="s">
        <v>2733</v>
      </c>
      <c r="D116" s="1" t="s">
        <v>2734</v>
      </c>
      <c r="E116" s="1" t="s">
        <v>2735</v>
      </c>
      <c r="F116" s="1" t="s">
        <v>2736</v>
      </c>
      <c r="G116" s="1" t="s">
        <v>2424</v>
      </c>
      <c r="H116" s="1">
        <v>6.0</v>
      </c>
      <c r="I116" s="1" t="s">
        <v>2737</v>
      </c>
      <c r="J116" s="1" t="s">
        <v>2738</v>
      </c>
    </row>
    <row r="117">
      <c r="A117" s="1"/>
      <c r="B117" s="1" t="s">
        <v>1395</v>
      </c>
      <c r="C117" s="1" t="s">
        <v>2739</v>
      </c>
      <c r="D117" s="1" t="s">
        <v>2812</v>
      </c>
      <c r="E117" s="1" t="s">
        <v>2741</v>
      </c>
      <c r="F117" s="1" t="s">
        <v>2813</v>
      </c>
      <c r="G117" s="1" t="s">
        <v>2491</v>
      </c>
      <c r="H117" s="1">
        <v>6.0</v>
      </c>
      <c r="I117" s="1" t="s">
        <v>2743</v>
      </c>
      <c r="J117" s="1" t="s">
        <v>2814</v>
      </c>
    </row>
    <row r="118">
      <c r="A118" s="1"/>
      <c r="B118" s="1" t="s">
        <v>2091</v>
      </c>
      <c r="C118" s="1" t="s">
        <v>2815</v>
      </c>
      <c r="D118" s="1" t="s">
        <v>2816</v>
      </c>
      <c r="E118" s="1" t="s">
        <v>2817</v>
      </c>
      <c r="F118" s="1" t="s">
        <v>2818</v>
      </c>
      <c r="G118" s="1" t="s">
        <v>2394</v>
      </c>
      <c r="H118" s="1">
        <v>6.0</v>
      </c>
      <c r="I118" s="1" t="s">
        <v>2819</v>
      </c>
      <c r="J118" s="1" t="s">
        <v>2820</v>
      </c>
    </row>
    <row r="119">
      <c r="A119" s="1"/>
      <c r="B119" s="1" t="s">
        <v>1404</v>
      </c>
      <c r="C119" s="1" t="s">
        <v>2821</v>
      </c>
      <c r="D119" s="1" t="s">
        <v>2822</v>
      </c>
      <c r="E119" s="1" t="s">
        <v>2823</v>
      </c>
      <c r="F119" s="1" t="s">
        <v>2824</v>
      </c>
      <c r="G119" s="1" t="s">
        <v>2147</v>
      </c>
      <c r="H119" s="1">
        <v>6.0</v>
      </c>
      <c r="I119" s="1" t="s">
        <v>2825</v>
      </c>
      <c r="J119" s="1" t="s">
        <v>2826</v>
      </c>
    </row>
    <row r="120">
      <c r="A120" s="1"/>
      <c r="B120" s="1" t="s">
        <v>1413</v>
      </c>
      <c r="C120" s="1" t="s">
        <v>2827</v>
      </c>
      <c r="D120" s="1" t="s">
        <v>2828</v>
      </c>
      <c r="E120" s="1" t="s">
        <v>2829</v>
      </c>
      <c r="F120" s="1" t="s">
        <v>2777</v>
      </c>
      <c r="G120" s="1" t="s">
        <v>2394</v>
      </c>
      <c r="H120" s="1">
        <v>6.0</v>
      </c>
      <c r="I120" s="1" t="s">
        <v>2778</v>
      </c>
      <c r="J120" s="1" t="s">
        <v>2830</v>
      </c>
    </row>
    <row r="121">
      <c r="A121" s="1"/>
      <c r="B121" s="1" t="s">
        <v>1421</v>
      </c>
      <c r="C121" s="1" t="s">
        <v>2780</v>
      </c>
      <c r="D121" s="1" t="s">
        <v>2781</v>
      </c>
      <c r="E121" s="1" t="s">
        <v>2782</v>
      </c>
      <c r="F121" s="1" t="s">
        <v>2831</v>
      </c>
      <c r="G121" s="1" t="s">
        <v>2140</v>
      </c>
      <c r="H121" s="1">
        <v>8.0</v>
      </c>
      <c r="I121" s="1" t="s">
        <v>2784</v>
      </c>
      <c r="J121" s="1" t="s">
        <v>2832</v>
      </c>
    </row>
    <row r="122">
      <c r="A122" s="1"/>
      <c r="B122" s="1" t="s">
        <v>368</v>
      </c>
      <c r="C122" s="1" t="s">
        <v>2833</v>
      </c>
      <c r="D122" s="1" t="s">
        <v>2834</v>
      </c>
      <c r="E122" s="1" t="s">
        <v>2835</v>
      </c>
      <c r="F122" s="1" t="s">
        <v>2836</v>
      </c>
      <c r="G122" s="1" t="s">
        <v>2491</v>
      </c>
      <c r="H122" s="1">
        <v>10.0</v>
      </c>
      <c r="I122" s="1" t="s">
        <v>2837</v>
      </c>
      <c r="J122" s="1" t="s">
        <v>2838</v>
      </c>
    </row>
    <row r="123">
      <c r="A123" s="1"/>
      <c r="B123" s="1" t="s">
        <v>545</v>
      </c>
      <c r="C123" s="1" t="s">
        <v>2839</v>
      </c>
      <c r="D123" s="1" t="s">
        <v>2840</v>
      </c>
      <c r="E123" s="1" t="s">
        <v>2841</v>
      </c>
      <c r="F123" s="1" t="s">
        <v>2842</v>
      </c>
      <c r="G123" s="1" t="s">
        <v>2147</v>
      </c>
      <c r="H123" s="1">
        <v>8.0</v>
      </c>
      <c r="I123" s="1" t="s">
        <v>2843</v>
      </c>
      <c r="J123" s="1" t="s">
        <v>2844</v>
      </c>
    </row>
    <row r="124">
      <c r="A124" s="1"/>
      <c r="B124" s="1" t="s">
        <v>554</v>
      </c>
      <c r="C124" s="1" t="s">
        <v>2845</v>
      </c>
      <c r="D124" s="1" t="s">
        <v>2846</v>
      </c>
      <c r="E124" s="1" t="s">
        <v>2847</v>
      </c>
      <c r="F124" s="1" t="s">
        <v>2618</v>
      </c>
      <c r="G124" s="1" t="s">
        <v>2411</v>
      </c>
      <c r="H124" s="1">
        <v>8.0</v>
      </c>
      <c r="I124" s="1" t="s">
        <v>2848</v>
      </c>
      <c r="J124" s="1" t="s">
        <v>2849</v>
      </c>
    </row>
    <row r="125">
      <c r="A125" s="1"/>
      <c r="B125" s="1" t="s">
        <v>581</v>
      </c>
      <c r="C125" s="1" t="s">
        <v>2850</v>
      </c>
      <c r="D125" s="1" t="s">
        <v>2851</v>
      </c>
      <c r="E125" s="1" t="s">
        <v>2852</v>
      </c>
      <c r="F125" s="1" t="s">
        <v>2853</v>
      </c>
      <c r="G125" s="1" t="s">
        <v>2424</v>
      </c>
      <c r="H125" s="1">
        <v>4.0</v>
      </c>
      <c r="I125" s="1" t="s">
        <v>2854</v>
      </c>
      <c r="J125" s="1" t="s">
        <v>2855</v>
      </c>
    </row>
    <row r="126">
      <c r="A126" s="1"/>
      <c r="B126" s="1" t="s">
        <v>680</v>
      </c>
      <c r="C126" s="1" t="s">
        <v>2856</v>
      </c>
      <c r="D126" s="1" t="s">
        <v>2857</v>
      </c>
      <c r="E126" s="1" t="s">
        <v>2858</v>
      </c>
      <c r="F126" s="1" t="s">
        <v>2859</v>
      </c>
      <c r="G126" s="1" t="s">
        <v>2257</v>
      </c>
      <c r="H126" s="1">
        <v>12.0</v>
      </c>
      <c r="I126" s="1" t="s">
        <v>2860</v>
      </c>
      <c r="J126" s="1" t="s">
        <v>2861</v>
      </c>
    </row>
    <row r="127">
      <c r="A127" s="1"/>
      <c r="B127" s="1" t="s">
        <v>787</v>
      </c>
      <c r="C127" s="1" t="s">
        <v>2862</v>
      </c>
      <c r="D127" s="1" t="s">
        <v>2863</v>
      </c>
      <c r="E127" s="1" t="s">
        <v>2864</v>
      </c>
      <c r="F127" s="1" t="s">
        <v>2865</v>
      </c>
      <c r="G127" s="1" t="s">
        <v>2147</v>
      </c>
      <c r="H127" s="1">
        <v>6.0</v>
      </c>
      <c r="I127" s="1" t="s">
        <v>2866</v>
      </c>
      <c r="J127" s="1" t="s">
        <v>2867</v>
      </c>
    </row>
    <row r="128">
      <c r="A128" s="1"/>
      <c r="B128" s="1" t="s">
        <v>805</v>
      </c>
      <c r="C128" s="1" t="s">
        <v>2868</v>
      </c>
      <c r="D128" s="1" t="s">
        <v>2869</v>
      </c>
      <c r="E128" s="1" t="s">
        <v>2870</v>
      </c>
      <c r="F128" s="1" t="s">
        <v>2871</v>
      </c>
      <c r="G128" s="1" t="s">
        <v>2147</v>
      </c>
      <c r="H128" s="1">
        <v>6.0</v>
      </c>
      <c r="I128" s="1" t="s">
        <v>2872</v>
      </c>
      <c r="J128" s="1" t="s">
        <v>2873</v>
      </c>
    </row>
    <row r="129">
      <c r="A129" s="1"/>
      <c r="B129" s="1" t="s">
        <v>840</v>
      </c>
      <c r="C129" s="1" t="s">
        <v>2874</v>
      </c>
      <c r="D129" s="1" t="s">
        <v>2875</v>
      </c>
      <c r="E129" s="1" t="s">
        <v>2876</v>
      </c>
      <c r="F129" s="1" t="s">
        <v>2842</v>
      </c>
      <c r="G129" s="1" t="s">
        <v>2394</v>
      </c>
      <c r="H129" s="1">
        <v>8.0</v>
      </c>
      <c r="I129" s="1" t="s">
        <v>2877</v>
      </c>
      <c r="J129" s="1" t="s">
        <v>2878</v>
      </c>
    </row>
    <row r="130">
      <c r="A130" s="1"/>
      <c r="B130" s="1" t="s">
        <v>858</v>
      </c>
      <c r="C130" s="1" t="s">
        <v>2524</v>
      </c>
      <c r="D130" s="1" t="s">
        <v>2879</v>
      </c>
      <c r="E130" s="1" t="s">
        <v>2880</v>
      </c>
      <c r="F130" s="1" t="s">
        <v>2881</v>
      </c>
      <c r="G130" s="1" t="s">
        <v>2147</v>
      </c>
      <c r="H130" s="1">
        <v>6.0</v>
      </c>
      <c r="I130" s="1" t="s">
        <v>2528</v>
      </c>
      <c r="J130" s="1" t="s">
        <v>2882</v>
      </c>
    </row>
    <row r="131">
      <c r="A131" s="1"/>
      <c r="B131" s="1" t="s">
        <v>982</v>
      </c>
      <c r="C131" s="1" t="s">
        <v>2883</v>
      </c>
      <c r="D131" s="1" t="s">
        <v>2884</v>
      </c>
      <c r="E131" s="1" t="s">
        <v>2885</v>
      </c>
      <c r="F131" s="1" t="s">
        <v>2886</v>
      </c>
      <c r="G131" s="1" t="s">
        <v>2257</v>
      </c>
      <c r="H131" s="1">
        <v>6.0</v>
      </c>
      <c r="I131" s="1" t="s">
        <v>2887</v>
      </c>
      <c r="J131" s="1" t="s">
        <v>2888</v>
      </c>
    </row>
    <row r="132">
      <c r="A132" s="1"/>
      <c r="B132" s="1" t="s">
        <v>1044</v>
      </c>
      <c r="C132" s="1" t="s">
        <v>2889</v>
      </c>
      <c r="D132" s="1" t="s">
        <v>2890</v>
      </c>
      <c r="E132" s="1" t="s">
        <v>2891</v>
      </c>
      <c r="F132" s="1" t="s">
        <v>2892</v>
      </c>
      <c r="G132" s="1" t="s">
        <v>2257</v>
      </c>
      <c r="H132" s="1">
        <v>6.0</v>
      </c>
      <c r="I132" s="1" t="s">
        <v>2893</v>
      </c>
      <c r="J132" s="1" t="s">
        <v>2894</v>
      </c>
    </row>
    <row r="133">
      <c r="A133" s="1"/>
      <c r="B133" s="1" t="s">
        <v>1087</v>
      </c>
      <c r="C133" s="1" t="s">
        <v>2895</v>
      </c>
      <c r="D133" s="1" t="s">
        <v>2896</v>
      </c>
      <c r="E133" s="1" t="s">
        <v>2897</v>
      </c>
      <c r="F133" s="1" t="s">
        <v>2898</v>
      </c>
      <c r="G133" s="1" t="s">
        <v>2147</v>
      </c>
      <c r="H133" s="1">
        <v>10.0</v>
      </c>
      <c r="I133" s="1" t="s">
        <v>2899</v>
      </c>
      <c r="J133" s="1" t="s">
        <v>2900</v>
      </c>
    </row>
    <row r="134">
      <c r="A134" s="1"/>
      <c r="B134" s="1" t="s">
        <v>1122</v>
      </c>
      <c r="C134" s="1" t="s">
        <v>2901</v>
      </c>
      <c r="D134" s="1" t="s">
        <v>2902</v>
      </c>
      <c r="E134" s="1" t="s">
        <v>2903</v>
      </c>
      <c r="F134" s="1" t="s">
        <v>2904</v>
      </c>
      <c r="G134" s="1" t="s">
        <v>2307</v>
      </c>
      <c r="H134" s="1">
        <v>6.0</v>
      </c>
      <c r="I134" s="1" t="s">
        <v>2905</v>
      </c>
      <c r="J134" s="1" t="s">
        <v>2906</v>
      </c>
    </row>
    <row r="135">
      <c r="A135" s="1"/>
      <c r="B135" s="1" t="s">
        <v>1953</v>
      </c>
      <c r="C135" s="1" t="s">
        <v>2907</v>
      </c>
      <c r="D135" s="1" t="s">
        <v>2908</v>
      </c>
      <c r="E135" s="1" t="s">
        <v>2909</v>
      </c>
      <c r="F135" s="1" t="s">
        <v>2910</v>
      </c>
      <c r="G135" s="1" t="s">
        <v>2140</v>
      </c>
      <c r="H135" s="1">
        <v>10.0</v>
      </c>
      <c r="I135" s="1" t="s">
        <v>2911</v>
      </c>
      <c r="J135" s="1" t="s">
        <v>2912</v>
      </c>
    </row>
    <row r="136">
      <c r="A136" s="1"/>
      <c r="B136" s="1" t="s">
        <v>1974</v>
      </c>
      <c r="C136" s="1" t="s">
        <v>2913</v>
      </c>
      <c r="D136" s="1" t="s">
        <v>2914</v>
      </c>
      <c r="E136" s="1" t="s">
        <v>2915</v>
      </c>
      <c r="F136" s="1" t="s">
        <v>2754</v>
      </c>
      <c r="G136" s="1" t="s">
        <v>2394</v>
      </c>
      <c r="H136" s="1">
        <v>6.0</v>
      </c>
      <c r="I136" s="1" t="s">
        <v>2860</v>
      </c>
      <c r="J136" s="1" t="s">
        <v>2916</v>
      </c>
    </row>
    <row r="137">
      <c r="A137" s="1"/>
      <c r="B137" s="1" t="s">
        <v>1259</v>
      </c>
      <c r="C137" s="1" t="s">
        <v>2917</v>
      </c>
      <c r="D137" s="1" t="s">
        <v>2918</v>
      </c>
      <c r="E137" s="1" t="s">
        <v>2919</v>
      </c>
      <c r="F137" s="1" t="s">
        <v>2920</v>
      </c>
      <c r="G137" s="1" t="s">
        <v>2140</v>
      </c>
      <c r="H137" s="1">
        <v>4.0</v>
      </c>
      <c r="I137" s="1" t="s">
        <v>2921</v>
      </c>
      <c r="J137" s="1" t="s">
        <v>2922</v>
      </c>
    </row>
    <row r="138">
      <c r="A138" s="1"/>
      <c r="B138" s="1" t="s">
        <v>1290</v>
      </c>
      <c r="C138" s="1" t="s">
        <v>2923</v>
      </c>
      <c r="D138" s="1" t="s">
        <v>2924</v>
      </c>
      <c r="E138" s="1" t="s">
        <v>2925</v>
      </c>
      <c r="F138" s="1" t="s">
        <v>2926</v>
      </c>
      <c r="G138" s="1" t="s">
        <v>2257</v>
      </c>
      <c r="H138" s="1">
        <v>4.0</v>
      </c>
      <c r="I138" s="1" t="s">
        <v>2927</v>
      </c>
      <c r="J138" s="1" t="s">
        <v>2928</v>
      </c>
    </row>
    <row r="139">
      <c r="A139" s="1"/>
      <c r="B139" s="1" t="s">
        <v>56</v>
      </c>
      <c r="C139" s="1" t="s">
        <v>2929</v>
      </c>
      <c r="D139" s="1" t="s">
        <v>2930</v>
      </c>
      <c r="E139" s="1" t="s">
        <v>2931</v>
      </c>
      <c r="F139" s="1" t="s">
        <v>2932</v>
      </c>
      <c r="G139" s="1" t="s">
        <v>2140</v>
      </c>
      <c r="H139" s="1">
        <v>4.0</v>
      </c>
      <c r="I139" s="1" t="s">
        <v>2933</v>
      </c>
      <c r="J139" s="1" t="s">
        <v>2934</v>
      </c>
    </row>
    <row r="140">
      <c r="A140" s="1"/>
      <c r="B140" s="1" t="s">
        <v>2935</v>
      </c>
      <c r="C140" s="1" t="s">
        <v>2936</v>
      </c>
      <c r="D140" s="1" t="s">
        <v>2937</v>
      </c>
      <c r="E140" s="1" t="s">
        <v>2938</v>
      </c>
      <c r="F140" s="1" t="s">
        <v>2777</v>
      </c>
      <c r="G140" s="1" t="s">
        <v>2257</v>
      </c>
      <c r="H140" s="1">
        <v>5.0</v>
      </c>
      <c r="I140" s="1" t="s">
        <v>2939</v>
      </c>
      <c r="J140" s="1" t="s">
        <v>2940</v>
      </c>
    </row>
    <row r="141">
      <c r="A141" s="1"/>
      <c r="B141" s="1" t="s">
        <v>1587</v>
      </c>
      <c r="C141" s="1" t="s">
        <v>2941</v>
      </c>
      <c r="D141" s="1" t="s">
        <v>2942</v>
      </c>
      <c r="E141" s="1" t="s">
        <v>2943</v>
      </c>
      <c r="F141" s="1" t="s">
        <v>2944</v>
      </c>
      <c r="G141" s="1" t="s">
        <v>2147</v>
      </c>
      <c r="H141" s="1">
        <v>6.0</v>
      </c>
      <c r="I141" s="1" t="s">
        <v>2945</v>
      </c>
      <c r="J141" s="1" t="s">
        <v>2946</v>
      </c>
    </row>
    <row r="142">
      <c r="A142" s="1"/>
      <c r="B142" s="1" t="s">
        <v>287</v>
      </c>
      <c r="C142" s="1" t="s">
        <v>2947</v>
      </c>
      <c r="D142" s="1" t="s">
        <v>2948</v>
      </c>
      <c r="E142" s="1" t="s">
        <v>2949</v>
      </c>
      <c r="F142" s="1" t="s">
        <v>2950</v>
      </c>
      <c r="G142" s="1" t="s">
        <v>2424</v>
      </c>
      <c r="H142" s="1">
        <v>6.0</v>
      </c>
      <c r="I142" s="1" t="s">
        <v>2951</v>
      </c>
      <c r="J142" s="1" t="s">
        <v>2952</v>
      </c>
    </row>
    <row r="143">
      <c r="A143" s="1"/>
      <c r="B143" s="1" t="s">
        <v>440</v>
      </c>
      <c r="C143" s="1" t="s">
        <v>2953</v>
      </c>
      <c r="D143" s="1" t="s">
        <v>2954</v>
      </c>
      <c r="E143" s="1" t="s">
        <v>2955</v>
      </c>
      <c r="F143" s="1" t="s">
        <v>2956</v>
      </c>
      <c r="G143" s="1" t="s">
        <v>2140</v>
      </c>
      <c r="H143" s="1">
        <v>8.0</v>
      </c>
      <c r="I143" s="1" t="s">
        <v>2957</v>
      </c>
      <c r="J143" s="1" t="s">
        <v>2958</v>
      </c>
    </row>
    <row r="144">
      <c r="A144" s="1"/>
      <c r="B144" s="1" t="s">
        <v>485</v>
      </c>
      <c r="C144" s="1" t="s">
        <v>2959</v>
      </c>
      <c r="D144" s="1" t="s">
        <v>2960</v>
      </c>
      <c r="E144" s="1" t="s">
        <v>2961</v>
      </c>
      <c r="F144" s="1" t="s">
        <v>2962</v>
      </c>
      <c r="G144" s="1" t="s">
        <v>2257</v>
      </c>
      <c r="H144" s="1">
        <v>8.0</v>
      </c>
      <c r="I144" s="1" t="s">
        <v>2963</v>
      </c>
      <c r="J144" s="1" t="s">
        <v>2547</v>
      </c>
    </row>
    <row r="145">
      <c r="A145" s="1"/>
      <c r="B145" s="1" t="s">
        <v>536</v>
      </c>
      <c r="C145" s="1" t="s">
        <v>2964</v>
      </c>
      <c r="D145" s="1" t="s">
        <v>2965</v>
      </c>
      <c r="E145" s="1" t="s">
        <v>2966</v>
      </c>
      <c r="F145" s="1" t="s">
        <v>2967</v>
      </c>
      <c r="G145" s="1" t="s">
        <v>2140</v>
      </c>
      <c r="H145" s="1">
        <v>6.0</v>
      </c>
      <c r="I145" s="1" t="s">
        <v>2968</v>
      </c>
      <c r="J145" s="1" t="s">
        <v>2969</v>
      </c>
    </row>
    <row r="146">
      <c r="A146" s="1"/>
      <c r="B146" s="1" t="s">
        <v>617</v>
      </c>
      <c r="C146" s="1" t="s">
        <v>2970</v>
      </c>
      <c r="D146" s="1" t="s">
        <v>2971</v>
      </c>
      <c r="E146" s="1" t="s">
        <v>2972</v>
      </c>
      <c r="F146" s="1" t="s">
        <v>2973</v>
      </c>
      <c r="G146" s="1" t="s">
        <v>2257</v>
      </c>
      <c r="H146" s="1">
        <v>4.0</v>
      </c>
      <c r="I146" s="1" t="s">
        <v>2974</v>
      </c>
      <c r="J146" s="1" t="s">
        <v>2975</v>
      </c>
    </row>
    <row r="147">
      <c r="A147" s="1"/>
      <c r="B147" s="1" t="s">
        <v>626</v>
      </c>
      <c r="C147" s="1" t="s">
        <v>2976</v>
      </c>
      <c r="D147" s="1" t="s">
        <v>2977</v>
      </c>
      <c r="E147" s="1" t="s">
        <v>2978</v>
      </c>
      <c r="F147" s="1" t="s">
        <v>2979</v>
      </c>
      <c r="G147" s="1" t="s">
        <v>2394</v>
      </c>
      <c r="H147" s="1">
        <v>6.0</v>
      </c>
      <c r="I147" s="1" t="s">
        <v>2980</v>
      </c>
      <c r="J147" s="1" t="s">
        <v>2981</v>
      </c>
    </row>
    <row r="148">
      <c r="A148" s="1"/>
      <c r="B148" s="1" t="s">
        <v>796</v>
      </c>
      <c r="C148" s="1" t="s">
        <v>2982</v>
      </c>
      <c r="D148" s="1" t="s">
        <v>2983</v>
      </c>
      <c r="E148" s="1" t="s">
        <v>2984</v>
      </c>
      <c r="F148" s="1" t="s">
        <v>2436</v>
      </c>
      <c r="G148" s="1" t="s">
        <v>2394</v>
      </c>
      <c r="H148" s="1">
        <v>5.0</v>
      </c>
      <c r="I148" s="1" t="s">
        <v>2985</v>
      </c>
      <c r="J148" s="1" t="s">
        <v>2986</v>
      </c>
    </row>
    <row r="149">
      <c r="A149" s="1"/>
      <c r="B149" s="1" t="s">
        <v>823</v>
      </c>
      <c r="C149" s="1" t="s">
        <v>2987</v>
      </c>
      <c r="D149" s="1" t="s">
        <v>2988</v>
      </c>
      <c r="E149" s="1" t="s">
        <v>2989</v>
      </c>
      <c r="F149" s="1" t="s">
        <v>2990</v>
      </c>
      <c r="G149" s="1" t="s">
        <v>2257</v>
      </c>
      <c r="H149" s="1">
        <v>6.0</v>
      </c>
      <c r="I149" s="1" t="s">
        <v>2991</v>
      </c>
      <c r="J149" s="1" t="s">
        <v>2992</v>
      </c>
    </row>
    <row r="150">
      <c r="A150" s="1"/>
      <c r="B150" s="1" t="s">
        <v>875</v>
      </c>
      <c r="C150" s="1" t="s">
        <v>2993</v>
      </c>
      <c r="D150" s="1" t="s">
        <v>2994</v>
      </c>
      <c r="E150" s="1" t="s">
        <v>2995</v>
      </c>
      <c r="F150" s="1" t="s">
        <v>2436</v>
      </c>
      <c r="G150" s="1" t="s">
        <v>2257</v>
      </c>
      <c r="H150" s="1">
        <v>5.0</v>
      </c>
      <c r="I150" s="1" t="s">
        <v>2996</v>
      </c>
      <c r="J150" s="1" t="s">
        <v>2997</v>
      </c>
    </row>
    <row r="151">
      <c r="A151" s="1"/>
      <c r="B151" s="1" t="s">
        <v>1018</v>
      </c>
      <c r="C151" s="1" t="s">
        <v>2998</v>
      </c>
      <c r="D151" s="1" t="s">
        <v>2999</v>
      </c>
      <c r="E151" s="1" t="s">
        <v>3000</v>
      </c>
      <c r="F151" s="1" t="s">
        <v>2436</v>
      </c>
      <c r="G151" s="1" t="s">
        <v>2257</v>
      </c>
      <c r="H151" s="1">
        <v>5.0</v>
      </c>
      <c r="I151" s="1" t="s">
        <v>3001</v>
      </c>
      <c r="J151" s="1" t="s">
        <v>3002</v>
      </c>
    </row>
    <row r="152">
      <c r="A152" s="1"/>
      <c r="B152" s="1" t="s">
        <v>1052</v>
      </c>
      <c r="C152" s="1" t="s">
        <v>3003</v>
      </c>
      <c r="D152" s="1" t="s">
        <v>3004</v>
      </c>
      <c r="E152" s="1" t="s">
        <v>3005</v>
      </c>
      <c r="F152" s="1" t="s">
        <v>3006</v>
      </c>
      <c r="G152" s="1" t="s">
        <v>2140</v>
      </c>
      <c r="H152" s="1">
        <v>5.0</v>
      </c>
      <c r="I152" s="1" t="s">
        <v>3007</v>
      </c>
      <c r="J152" s="1" t="s">
        <v>3008</v>
      </c>
    </row>
    <row r="153">
      <c r="A153" s="1"/>
      <c r="B153" s="1" t="s">
        <v>1243</v>
      </c>
      <c r="C153" s="1" t="s">
        <v>3009</v>
      </c>
      <c r="D153" s="1" t="s">
        <v>3010</v>
      </c>
      <c r="E153" s="1" t="s">
        <v>3011</v>
      </c>
      <c r="F153" s="1" t="s">
        <v>2436</v>
      </c>
      <c r="G153" s="1" t="s">
        <v>2257</v>
      </c>
      <c r="H153" s="1">
        <v>6.0</v>
      </c>
      <c r="I153" s="1" t="s">
        <v>3012</v>
      </c>
      <c r="J153" s="1" t="s">
        <v>3013</v>
      </c>
    </row>
    <row r="154">
      <c r="A154" s="1"/>
      <c r="B154" s="1" t="s">
        <v>1994</v>
      </c>
      <c r="C154" s="1" t="s">
        <v>3014</v>
      </c>
      <c r="D154" s="1" t="s">
        <v>3015</v>
      </c>
      <c r="E154" s="1" t="s">
        <v>3016</v>
      </c>
      <c r="F154" s="1" t="s">
        <v>2436</v>
      </c>
      <c r="G154" s="1" t="s">
        <v>2140</v>
      </c>
      <c r="H154" s="1">
        <v>5.0</v>
      </c>
      <c r="I154" s="1" t="s">
        <v>3017</v>
      </c>
      <c r="J154" s="1" t="s">
        <v>3018</v>
      </c>
    </row>
    <row r="155">
      <c r="A155" s="1"/>
      <c r="B155" s="1" t="s">
        <v>2006</v>
      </c>
      <c r="C155" s="1" t="s">
        <v>3019</v>
      </c>
      <c r="D155" s="1" t="s">
        <v>3020</v>
      </c>
      <c r="E155" s="1" t="s">
        <v>3021</v>
      </c>
      <c r="F155" s="1" t="s">
        <v>3022</v>
      </c>
      <c r="G155" s="1" t="s">
        <v>2147</v>
      </c>
      <c r="H155" s="1">
        <v>6.0</v>
      </c>
      <c r="I155" s="1" t="s">
        <v>3023</v>
      </c>
      <c r="J155" s="1" t="s">
        <v>3024</v>
      </c>
    </row>
    <row r="156">
      <c r="A156" s="1"/>
      <c r="B156" s="1" t="s">
        <v>2018</v>
      </c>
      <c r="C156" s="1" t="s">
        <v>3025</v>
      </c>
      <c r="D156" s="1" t="s">
        <v>3026</v>
      </c>
      <c r="E156" s="1" t="s">
        <v>3027</v>
      </c>
      <c r="F156" s="1" t="s">
        <v>3028</v>
      </c>
      <c r="G156" s="1" t="s">
        <v>2147</v>
      </c>
      <c r="H156" s="1">
        <v>8.0</v>
      </c>
      <c r="I156" s="1" t="s">
        <v>3029</v>
      </c>
      <c r="J156" s="1" t="s">
        <v>3030</v>
      </c>
    </row>
    <row r="157">
      <c r="A157" s="1"/>
      <c r="B157" s="1" t="s">
        <v>2022</v>
      </c>
      <c r="C157" s="1" t="s">
        <v>3031</v>
      </c>
      <c r="D157" s="1" t="s">
        <v>3032</v>
      </c>
      <c r="E157" s="1" t="s">
        <v>3033</v>
      </c>
      <c r="F157" s="1" t="s">
        <v>3034</v>
      </c>
      <c r="G157" s="1" t="s">
        <v>2257</v>
      </c>
      <c r="H157" s="1">
        <v>6.0</v>
      </c>
      <c r="I157" s="1" t="s">
        <v>3035</v>
      </c>
      <c r="J157" s="1" t="s">
        <v>3036</v>
      </c>
    </row>
    <row r="158">
      <c r="A158" s="1"/>
      <c r="B158" s="1" t="s">
        <v>2014</v>
      </c>
      <c r="C158" s="1" t="s">
        <v>3037</v>
      </c>
      <c r="D158" s="1" t="s">
        <v>3038</v>
      </c>
      <c r="E158" s="1" t="s">
        <v>3039</v>
      </c>
      <c r="F158" s="1" t="s">
        <v>3040</v>
      </c>
      <c r="G158" s="1" t="s">
        <v>2394</v>
      </c>
      <c r="H158" s="1">
        <v>6.0</v>
      </c>
      <c r="I158" s="1" t="s">
        <v>3041</v>
      </c>
      <c r="J158" s="1" t="s">
        <v>3042</v>
      </c>
    </row>
    <row r="159">
      <c r="A159" s="1"/>
      <c r="B159" s="1" t="s">
        <v>644</v>
      </c>
      <c r="C159" s="1" t="s">
        <v>3043</v>
      </c>
      <c r="D159" s="1" t="s">
        <v>3044</v>
      </c>
      <c r="E159" s="1" t="s">
        <v>3045</v>
      </c>
      <c r="F159" s="1" t="s">
        <v>2754</v>
      </c>
      <c r="G159" s="1" t="s">
        <v>2394</v>
      </c>
      <c r="H159" s="1">
        <v>6.0</v>
      </c>
      <c r="I159" s="1" t="s">
        <v>3046</v>
      </c>
      <c r="J159" s="1" t="s">
        <v>3047</v>
      </c>
    </row>
    <row r="160">
      <c r="A160" s="1"/>
      <c r="B160" s="1" t="s">
        <v>1323</v>
      </c>
      <c r="C160" s="1" t="s">
        <v>3048</v>
      </c>
      <c r="D160" s="1" t="s">
        <v>3049</v>
      </c>
      <c r="E160" s="1" t="s">
        <v>3050</v>
      </c>
      <c r="F160" s="1" t="s">
        <v>2801</v>
      </c>
      <c r="G160" s="1" t="s">
        <v>2147</v>
      </c>
      <c r="H160" s="1">
        <v>6.0</v>
      </c>
      <c r="I160" s="1" t="s">
        <v>3051</v>
      </c>
      <c r="J160" s="1" t="s">
        <v>3052</v>
      </c>
    </row>
    <row r="161">
      <c r="A161" s="1"/>
      <c r="B161" s="1" t="s">
        <v>1710</v>
      </c>
      <c r="C161" s="1" t="s">
        <v>3053</v>
      </c>
      <c r="D161" s="1" t="s">
        <v>3054</v>
      </c>
      <c r="E161" s="1" t="s">
        <v>3055</v>
      </c>
      <c r="F161" s="1" t="s">
        <v>3056</v>
      </c>
      <c r="G161" s="1" t="s">
        <v>2147</v>
      </c>
      <c r="H161" s="1">
        <v>6.0</v>
      </c>
      <c r="I161" s="1" t="s">
        <v>3057</v>
      </c>
      <c r="J161" s="1" t="s">
        <v>3058</v>
      </c>
    </row>
    <row r="162">
      <c r="A162" s="1"/>
      <c r="B162" s="1" t="s">
        <v>955</v>
      </c>
      <c r="C162" s="1" t="s">
        <v>3059</v>
      </c>
      <c r="D162" s="1" t="s">
        <v>3060</v>
      </c>
      <c r="E162" s="1" t="s">
        <v>3061</v>
      </c>
      <c r="F162" s="1" t="s">
        <v>2777</v>
      </c>
      <c r="G162" s="1" t="s">
        <v>2394</v>
      </c>
      <c r="H162" s="1">
        <v>6.0</v>
      </c>
      <c r="I162" s="1" t="s">
        <v>3062</v>
      </c>
      <c r="J162" s="1" t="s">
        <v>3063</v>
      </c>
    </row>
    <row r="163">
      <c r="A163" s="1"/>
      <c r="B163" s="1" t="s">
        <v>3064</v>
      </c>
      <c r="C163" s="1" t="s">
        <v>3065</v>
      </c>
      <c r="D163" s="1" t="s">
        <v>3066</v>
      </c>
      <c r="E163" s="1" t="s">
        <v>3067</v>
      </c>
      <c r="F163" s="1" t="s">
        <v>2436</v>
      </c>
      <c r="G163" s="1" t="s">
        <v>2257</v>
      </c>
      <c r="H163" s="1">
        <v>5.0</v>
      </c>
      <c r="I163" s="1" t="s">
        <v>3068</v>
      </c>
      <c r="J163" s="1" t="s">
        <v>3069</v>
      </c>
    </row>
    <row r="164">
      <c r="A164" s="1"/>
      <c r="B164" s="1" t="s">
        <v>1027</v>
      </c>
      <c r="C164" s="1" t="s">
        <v>3070</v>
      </c>
      <c r="D164" s="1" t="s">
        <v>3071</v>
      </c>
      <c r="E164" s="1" t="s">
        <v>3072</v>
      </c>
      <c r="F164" s="1" t="s">
        <v>2853</v>
      </c>
      <c r="G164" s="1" t="s">
        <v>2140</v>
      </c>
      <c r="H164" s="1">
        <v>8.0</v>
      </c>
      <c r="I164" s="1" t="s">
        <v>3073</v>
      </c>
      <c r="J164" s="1" t="s">
        <v>3074</v>
      </c>
    </row>
    <row r="165">
      <c r="A165" s="1"/>
      <c r="B165" s="1" t="s">
        <v>1970</v>
      </c>
      <c r="C165" s="1" t="s">
        <v>3075</v>
      </c>
      <c r="D165" s="1" t="s">
        <v>3076</v>
      </c>
      <c r="E165" s="1" t="s">
        <v>3077</v>
      </c>
      <c r="F165" s="1" t="s">
        <v>3056</v>
      </c>
      <c r="G165" s="1" t="s">
        <v>2307</v>
      </c>
      <c r="H165" s="1">
        <v>8.0</v>
      </c>
      <c r="I165" s="1" t="s">
        <v>3078</v>
      </c>
      <c r="J165" s="1" t="s">
        <v>3079</v>
      </c>
    </row>
    <row r="166">
      <c r="A166" s="1"/>
      <c r="B166" s="1" t="s">
        <v>2074</v>
      </c>
      <c r="C166" s="1" t="s">
        <v>3080</v>
      </c>
      <c r="D166" s="1" t="s">
        <v>3081</v>
      </c>
      <c r="E166" s="1" t="s">
        <v>3082</v>
      </c>
      <c r="F166" s="1" t="s">
        <v>2809</v>
      </c>
      <c r="G166" s="1" t="s">
        <v>2257</v>
      </c>
      <c r="H166" s="1">
        <v>4.0</v>
      </c>
      <c r="I166" s="1" t="s">
        <v>3083</v>
      </c>
      <c r="J166" s="1" t="s">
        <v>3084</v>
      </c>
    </row>
    <row r="167">
      <c r="A167" s="1"/>
      <c r="B167" s="1" t="s">
        <v>3085</v>
      </c>
      <c r="C167" s="1" t="s">
        <v>3086</v>
      </c>
      <c r="D167" s="1" t="s">
        <v>3087</v>
      </c>
      <c r="E167" s="1" t="s">
        <v>3088</v>
      </c>
      <c r="F167" s="1" t="s">
        <v>3089</v>
      </c>
      <c r="G167" s="1" t="s">
        <v>2147</v>
      </c>
      <c r="H167" s="1">
        <v>8.0</v>
      </c>
      <c r="I167" s="1" t="s">
        <v>3090</v>
      </c>
      <c r="J167" s="1" t="s">
        <v>3091</v>
      </c>
    </row>
    <row r="168">
      <c r="A168" s="1"/>
      <c r="B168" s="1" t="s">
        <v>1966</v>
      </c>
      <c r="C168" s="1" t="s">
        <v>3092</v>
      </c>
      <c r="D168" s="1" t="s">
        <v>3093</v>
      </c>
      <c r="E168" s="1" t="s">
        <v>3094</v>
      </c>
      <c r="F168" s="1" t="s">
        <v>2801</v>
      </c>
      <c r="G168" s="1" t="s">
        <v>2147</v>
      </c>
      <c r="H168" s="1">
        <v>6.0</v>
      </c>
      <c r="I168" s="1" t="s">
        <v>3095</v>
      </c>
      <c r="J168" s="1" t="s">
        <v>3096</v>
      </c>
    </row>
    <row r="169">
      <c r="A169" s="1"/>
      <c r="B169" s="1" t="s">
        <v>2049</v>
      </c>
      <c r="C169" s="1" t="s">
        <v>3097</v>
      </c>
      <c r="D169" s="1" t="s">
        <v>3098</v>
      </c>
      <c r="E169" s="1" t="s">
        <v>3099</v>
      </c>
      <c r="F169" s="1" t="s">
        <v>2606</v>
      </c>
      <c r="G169" s="1" t="s">
        <v>2257</v>
      </c>
      <c r="H169" s="1">
        <v>4.0</v>
      </c>
      <c r="I169" s="1" t="s">
        <v>3100</v>
      </c>
      <c r="J169" s="1" t="s">
        <v>3101</v>
      </c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</row>
  </sheetData>
  <drawing r:id="rId1"/>
</worksheet>
</file>